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59BCA787-E75B-4C3E-B7EC-8DDC5796581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線表" sheetId="1" r:id="rId1"/>
    <sheet name="船種" sheetId="2" r:id="rId2"/>
    <sheet name="溶接材料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16" i="4" l="1"/>
  <c r="AO115" i="4"/>
  <c r="AO114" i="4"/>
  <c r="AO113" i="4"/>
  <c r="AO112" i="4"/>
  <c r="AO111" i="4"/>
  <c r="AO110" i="4"/>
  <c r="AO109" i="4"/>
  <c r="AO108" i="4"/>
  <c r="AO107" i="4"/>
  <c r="AO106" i="4"/>
  <c r="AO105" i="4"/>
  <c r="AO104" i="4"/>
  <c r="AO103" i="4"/>
  <c r="AO102" i="4"/>
  <c r="AO101" i="4"/>
  <c r="AO100" i="4"/>
  <c r="AO99" i="4"/>
  <c r="AO98" i="4"/>
  <c r="AO97" i="4"/>
  <c r="AO96" i="4"/>
  <c r="AO95" i="4"/>
  <c r="AO94" i="4"/>
  <c r="AO93" i="4"/>
  <c r="AO92" i="4"/>
  <c r="AO91" i="4"/>
  <c r="AO90" i="4"/>
  <c r="AO89" i="4"/>
  <c r="AO88" i="4"/>
  <c r="AO87" i="4"/>
  <c r="AO86" i="4"/>
  <c r="AO85" i="4"/>
  <c r="AO84" i="4"/>
  <c r="AO83" i="4"/>
  <c r="AO82" i="4"/>
  <c r="AO81" i="4"/>
  <c r="AO80" i="4"/>
  <c r="AO79" i="4"/>
  <c r="AO78" i="4"/>
  <c r="AO77" i="4"/>
  <c r="AO76" i="4"/>
  <c r="AO75" i="4"/>
  <c r="AO74" i="4"/>
  <c r="AO73" i="4"/>
  <c r="AO72" i="4"/>
  <c r="AO71" i="4"/>
  <c r="AO70" i="4"/>
  <c r="AO69" i="4"/>
  <c r="AO68" i="4"/>
  <c r="AO67" i="4"/>
  <c r="AO66" i="4"/>
  <c r="AO65" i="4"/>
  <c r="AO64" i="4"/>
  <c r="AO63" i="4"/>
  <c r="AO62" i="4"/>
  <c r="AO61" i="4"/>
  <c r="AO60" i="4"/>
  <c r="AO59" i="4"/>
  <c r="AO58" i="4"/>
  <c r="AO57" i="4"/>
  <c r="AO56" i="4"/>
  <c r="AO55" i="4"/>
  <c r="AO54" i="4"/>
  <c r="AO53" i="4"/>
  <c r="AO52" i="4"/>
  <c r="AO51" i="4"/>
  <c r="AO50" i="4"/>
  <c r="AO49" i="4"/>
  <c r="AO48" i="4"/>
  <c r="AO47" i="4"/>
  <c r="AO46" i="4"/>
  <c r="AO45" i="4"/>
  <c r="AO44" i="4"/>
  <c r="AO43" i="4"/>
  <c r="AO42" i="4"/>
  <c r="AO41" i="4"/>
  <c r="AO40" i="4"/>
  <c r="AO39" i="4"/>
  <c r="AO38" i="4"/>
  <c r="AO37" i="4"/>
  <c r="AO36" i="4"/>
  <c r="AO35" i="4"/>
  <c r="AO34" i="4"/>
  <c r="AO33" i="4"/>
  <c r="AO32" i="4"/>
  <c r="AO31" i="4"/>
  <c r="AO30" i="4"/>
  <c r="AO29" i="4"/>
  <c r="AO28" i="4"/>
  <c r="AO27" i="4"/>
  <c r="AO26" i="4"/>
  <c r="AO25" i="4"/>
  <c r="AO24" i="4"/>
  <c r="AO23" i="4"/>
  <c r="AO22" i="4"/>
  <c r="AO21" i="4"/>
  <c r="AO20" i="4"/>
  <c r="AO19" i="4"/>
  <c r="AO18" i="4"/>
  <c r="AO17" i="4"/>
  <c r="AO16" i="4"/>
  <c r="AO15" i="4"/>
  <c r="AO14" i="4"/>
  <c r="AO13" i="4"/>
  <c r="AO12" i="4"/>
  <c r="AO11" i="4"/>
  <c r="AO10" i="4"/>
  <c r="AO9" i="4"/>
  <c r="AO8" i="4"/>
  <c r="AO7" i="4"/>
  <c r="AO6" i="4"/>
  <c r="AR116" i="4" l="1"/>
  <c r="AQ116" i="4"/>
  <c r="AR115" i="4"/>
  <c r="AQ115" i="4"/>
  <c r="AR114" i="4"/>
  <c r="AQ114" i="4"/>
  <c r="AR113" i="4"/>
  <c r="AQ113" i="4"/>
  <c r="AR112" i="4"/>
  <c r="AQ112" i="4"/>
  <c r="AR111" i="4"/>
  <c r="AQ111" i="4"/>
  <c r="AR110" i="4"/>
  <c r="AQ110" i="4"/>
  <c r="AR109" i="4"/>
  <c r="AQ109" i="4"/>
  <c r="AR108" i="4"/>
  <c r="AQ108" i="4"/>
  <c r="AR107" i="4"/>
  <c r="AQ107" i="4"/>
  <c r="AR106" i="4"/>
  <c r="AQ106" i="4"/>
  <c r="AR105" i="4"/>
  <c r="AQ105" i="4"/>
  <c r="AR104" i="4"/>
  <c r="AQ104" i="4"/>
  <c r="AR103" i="4"/>
  <c r="AQ103" i="4"/>
  <c r="AR102" i="4"/>
  <c r="AQ102" i="4"/>
  <c r="AR101" i="4"/>
  <c r="AQ101" i="4"/>
  <c r="AR100" i="4"/>
  <c r="AQ100" i="4"/>
  <c r="AR99" i="4"/>
  <c r="AQ99" i="4"/>
  <c r="AR98" i="4"/>
  <c r="AQ98" i="4"/>
  <c r="AR97" i="4"/>
  <c r="AQ97" i="4"/>
  <c r="AR96" i="4"/>
  <c r="AQ96" i="4"/>
  <c r="AR95" i="4"/>
  <c r="AQ95" i="4"/>
  <c r="AR94" i="4"/>
  <c r="AQ94" i="4"/>
  <c r="AR93" i="4"/>
  <c r="AQ93" i="4"/>
  <c r="AR92" i="4"/>
  <c r="AQ92" i="4"/>
  <c r="AR91" i="4"/>
  <c r="AQ91" i="4"/>
  <c r="AR90" i="4"/>
  <c r="AQ90" i="4"/>
  <c r="AR89" i="4"/>
  <c r="AQ89" i="4"/>
  <c r="AR88" i="4"/>
  <c r="AQ88" i="4"/>
  <c r="AR87" i="4"/>
  <c r="AQ87" i="4"/>
  <c r="AR86" i="4"/>
  <c r="AQ86" i="4"/>
  <c r="AR85" i="4"/>
  <c r="AQ85" i="4"/>
  <c r="AR84" i="4"/>
  <c r="AQ84" i="4"/>
  <c r="AR83" i="4"/>
  <c r="AQ83" i="4"/>
  <c r="AR82" i="4"/>
  <c r="AQ82" i="4"/>
  <c r="AR81" i="4"/>
  <c r="AQ81" i="4"/>
  <c r="AR80" i="4"/>
  <c r="AQ80" i="4"/>
  <c r="AR79" i="4"/>
  <c r="AQ79" i="4"/>
  <c r="AR78" i="4"/>
  <c r="AQ78" i="4"/>
  <c r="AR77" i="4"/>
  <c r="AQ77" i="4"/>
  <c r="AR76" i="4"/>
  <c r="AQ76" i="4"/>
  <c r="AR75" i="4"/>
  <c r="AQ75" i="4"/>
  <c r="AR74" i="4"/>
  <c r="AQ74" i="4"/>
  <c r="AR73" i="4"/>
  <c r="AQ73" i="4"/>
  <c r="AR72" i="4"/>
  <c r="AQ72" i="4"/>
  <c r="AR71" i="4"/>
  <c r="AQ71" i="4"/>
  <c r="AR70" i="4"/>
  <c r="AQ70" i="4"/>
  <c r="AR69" i="4"/>
  <c r="AQ69" i="4"/>
  <c r="AR68" i="4"/>
  <c r="AQ68" i="4"/>
  <c r="AR67" i="4"/>
  <c r="AQ67" i="4"/>
  <c r="AR66" i="4"/>
  <c r="AQ66" i="4"/>
  <c r="AR65" i="4"/>
  <c r="AQ65" i="4"/>
  <c r="AR64" i="4"/>
  <c r="AQ64" i="4"/>
  <c r="AR63" i="4"/>
  <c r="AQ63" i="4"/>
  <c r="AR62" i="4"/>
  <c r="AQ62" i="4"/>
  <c r="AR61" i="4"/>
  <c r="AQ61" i="4"/>
  <c r="AR60" i="4"/>
  <c r="AQ60" i="4"/>
  <c r="AR59" i="4"/>
  <c r="AQ59" i="4"/>
  <c r="AR58" i="4"/>
  <c r="AQ58" i="4"/>
  <c r="AR57" i="4"/>
  <c r="AQ57" i="4"/>
  <c r="AR56" i="4"/>
  <c r="AQ56" i="4"/>
  <c r="AR55" i="4"/>
  <c r="AQ55" i="4"/>
  <c r="AR54" i="4"/>
  <c r="AQ54" i="4"/>
  <c r="AR53" i="4"/>
  <c r="AQ53" i="4"/>
  <c r="AR52" i="4"/>
  <c r="AQ52" i="4"/>
  <c r="AR51" i="4"/>
  <c r="AQ51" i="4"/>
  <c r="AR50" i="4"/>
  <c r="AQ50" i="4"/>
  <c r="AR49" i="4"/>
  <c r="AQ49" i="4"/>
  <c r="AR48" i="4"/>
  <c r="AQ48" i="4"/>
  <c r="AR47" i="4"/>
  <c r="AQ47" i="4"/>
  <c r="AR46" i="4"/>
  <c r="AQ46" i="4"/>
  <c r="AR45" i="4"/>
  <c r="AQ45" i="4"/>
  <c r="AR44" i="4"/>
  <c r="AQ44" i="4"/>
  <c r="AR43" i="4"/>
  <c r="AQ43" i="4"/>
  <c r="AR42" i="4"/>
  <c r="AQ42" i="4"/>
  <c r="AR41" i="4"/>
  <c r="AQ41" i="4"/>
  <c r="AR40" i="4"/>
  <c r="AQ40" i="4"/>
  <c r="AR39" i="4"/>
  <c r="AQ39" i="4"/>
  <c r="AR38" i="4"/>
  <c r="AQ38" i="4"/>
  <c r="AR37" i="4"/>
  <c r="AQ37" i="4"/>
  <c r="AR36" i="4"/>
  <c r="AQ36" i="4"/>
  <c r="AR35" i="4"/>
  <c r="AQ35" i="4"/>
  <c r="AR34" i="4"/>
  <c r="AQ34" i="4"/>
  <c r="AR33" i="4"/>
  <c r="AQ33" i="4"/>
  <c r="AR32" i="4"/>
  <c r="AQ32" i="4"/>
  <c r="AR31" i="4"/>
  <c r="AQ31" i="4"/>
  <c r="AR30" i="4"/>
  <c r="AQ30" i="4"/>
  <c r="AR29" i="4"/>
  <c r="AQ29" i="4"/>
  <c r="AR28" i="4"/>
  <c r="AQ28" i="4"/>
  <c r="AR27" i="4"/>
  <c r="AQ27" i="4"/>
  <c r="AR26" i="4"/>
  <c r="AQ26" i="4"/>
  <c r="AR25" i="4"/>
  <c r="AQ25" i="4"/>
  <c r="AR24" i="4"/>
  <c r="AQ24" i="4"/>
  <c r="AR23" i="4"/>
  <c r="AQ23" i="4"/>
  <c r="AR22" i="4"/>
  <c r="AQ22" i="4"/>
  <c r="AR21" i="4"/>
  <c r="AQ21" i="4"/>
  <c r="AR20" i="4"/>
  <c r="AQ20" i="4"/>
  <c r="AR19" i="4"/>
  <c r="AQ19" i="4"/>
  <c r="AR18" i="4"/>
  <c r="AQ18" i="4"/>
  <c r="AR17" i="4"/>
  <c r="AQ17" i="4"/>
  <c r="AR16" i="4"/>
  <c r="AQ16" i="4"/>
  <c r="AR15" i="4"/>
  <c r="AQ15" i="4"/>
  <c r="AR14" i="4"/>
  <c r="AQ14" i="4"/>
  <c r="AR13" i="4"/>
  <c r="AQ13" i="4"/>
  <c r="AR12" i="4"/>
  <c r="AQ12" i="4"/>
  <c r="AR11" i="4"/>
  <c r="AQ11" i="4"/>
  <c r="AR10" i="4"/>
  <c r="AQ10" i="4"/>
  <c r="AR9" i="4"/>
  <c r="AQ9" i="4"/>
  <c r="AR8" i="4"/>
  <c r="AQ8" i="4"/>
  <c r="AR7" i="4"/>
  <c r="AQ7" i="4"/>
  <c r="AR6" i="4"/>
  <c r="AQ6" i="4"/>
  <c r="DI4" i="4" l="1"/>
  <c r="DJ4" i="4"/>
  <c r="DL4" i="4"/>
  <c r="DF6" i="4"/>
  <c r="DK6" i="4"/>
  <c r="DG6" i="4"/>
  <c r="BB6" i="4"/>
  <c r="BD6" i="4"/>
  <c r="BJ6" i="4"/>
  <c r="BR6" i="4"/>
  <c r="DD6" i="4" s="1"/>
  <c r="CM6" i="4"/>
  <c r="DB6" i="4" s="1"/>
  <c r="DA6" i="4"/>
  <c r="DC6" i="4"/>
  <c r="DH6" i="4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DF7" i="4"/>
  <c r="DG7" i="4"/>
  <c r="AT7" i="4"/>
  <c r="BB7" i="4"/>
  <c r="BD7" i="4"/>
  <c r="DK7" i="4" s="1"/>
  <c r="BJ7" i="4"/>
  <c r="DD7" i="4" s="1"/>
  <c r="BR7" i="4"/>
  <c r="CM7" i="4"/>
  <c r="DB7" i="4" s="1"/>
  <c r="DA7" i="4"/>
  <c r="DH7" i="4" s="1"/>
  <c r="DC7" i="4"/>
  <c r="DF8" i="4"/>
  <c r="DK8" i="4"/>
  <c r="DG8" i="4"/>
  <c r="BB8" i="4"/>
  <c r="BD8" i="4"/>
  <c r="BJ8" i="4"/>
  <c r="BR8" i="4"/>
  <c r="DD8" i="4" s="1"/>
  <c r="DP8" i="4" s="1"/>
  <c r="CM8" i="4"/>
  <c r="DB8" i="4" s="1"/>
  <c r="DA8" i="4"/>
  <c r="DH8" i="4" s="1"/>
  <c r="DC8" i="4"/>
  <c r="DF9" i="4"/>
  <c r="DG9" i="4"/>
  <c r="BB9" i="4"/>
  <c r="BD9" i="4"/>
  <c r="BJ9" i="4"/>
  <c r="BR9" i="4"/>
  <c r="CM9" i="4"/>
  <c r="DA9" i="4"/>
  <c r="DH9" i="4" s="1"/>
  <c r="DB9" i="4"/>
  <c r="DC9" i="4"/>
  <c r="DD9" i="4"/>
  <c r="DE9" i="4"/>
  <c r="DK10" i="4"/>
  <c r="DG10" i="4"/>
  <c r="AT10" i="4"/>
  <c r="BB10" i="4"/>
  <c r="DE10" i="4" s="1"/>
  <c r="BD10" i="4"/>
  <c r="BJ10" i="4"/>
  <c r="BR10" i="4"/>
  <c r="CM10" i="4"/>
  <c r="DA10" i="4"/>
  <c r="DH10" i="4" s="1"/>
  <c r="DB10" i="4"/>
  <c r="DC10" i="4"/>
  <c r="DD10" i="4"/>
  <c r="DF10" i="4"/>
  <c r="DF11" i="4"/>
  <c r="DG11" i="4"/>
  <c r="BB11" i="4"/>
  <c r="BD11" i="4"/>
  <c r="BJ11" i="4"/>
  <c r="BR11" i="4"/>
  <c r="CM11" i="4"/>
  <c r="DA11" i="4"/>
  <c r="DH11" i="4" s="1"/>
  <c r="DB11" i="4"/>
  <c r="DC11" i="4"/>
  <c r="P12" i="4"/>
  <c r="DG12" i="4"/>
  <c r="BB12" i="4"/>
  <c r="BD12" i="4"/>
  <c r="BJ12" i="4"/>
  <c r="BR12" i="4"/>
  <c r="DD12" i="4" s="1"/>
  <c r="CM12" i="4"/>
  <c r="DA12" i="4"/>
  <c r="DH12" i="4" s="1"/>
  <c r="DB12" i="4"/>
  <c r="DC12" i="4"/>
  <c r="DF12" i="4"/>
  <c r="BB13" i="4"/>
  <c r="DE13" i="4" s="1"/>
  <c r="BD13" i="4"/>
  <c r="BJ13" i="4"/>
  <c r="DD13" i="4" s="1"/>
  <c r="BR13" i="4"/>
  <c r="CM13" i="4"/>
  <c r="DB13" i="4" s="1"/>
  <c r="DA13" i="4"/>
  <c r="DC13" i="4"/>
  <c r="DG13" i="4"/>
  <c r="DH13" i="4"/>
  <c r="DK13" i="4"/>
  <c r="DF14" i="4"/>
  <c r="BB14" i="4"/>
  <c r="BD14" i="4"/>
  <c r="BJ14" i="4"/>
  <c r="BR14" i="4"/>
  <c r="DD14" i="4" s="1"/>
  <c r="CM14" i="4"/>
  <c r="DB14" i="4" s="1"/>
  <c r="DA14" i="4"/>
  <c r="DH14" i="4" s="1"/>
  <c r="DC14" i="4"/>
  <c r="DG14" i="4"/>
  <c r="DK15" i="4"/>
  <c r="DG15" i="4"/>
  <c r="BB15" i="4"/>
  <c r="BD15" i="4"/>
  <c r="BJ15" i="4"/>
  <c r="DD15" i="4" s="1"/>
  <c r="BR15" i="4"/>
  <c r="CM15" i="4"/>
  <c r="DA15" i="4"/>
  <c r="DH15" i="4" s="1"/>
  <c r="DB15" i="4"/>
  <c r="DC15" i="4"/>
  <c r="DF16" i="4"/>
  <c r="DG16" i="4"/>
  <c r="BB16" i="4"/>
  <c r="BD16" i="4"/>
  <c r="BJ16" i="4"/>
  <c r="BR16" i="4"/>
  <c r="DD16" i="4" s="1"/>
  <c r="CM16" i="4"/>
  <c r="DA16" i="4"/>
  <c r="DH16" i="4" s="1"/>
  <c r="DB16" i="4"/>
  <c r="DC16" i="4"/>
  <c r="DF17" i="4"/>
  <c r="DG17" i="4"/>
  <c r="BB17" i="4"/>
  <c r="BD17" i="4"/>
  <c r="BJ17" i="4"/>
  <c r="DD17" i="4" s="1"/>
  <c r="BR17" i="4"/>
  <c r="CM17" i="4"/>
  <c r="DB17" i="4" s="1"/>
  <c r="DA17" i="4"/>
  <c r="DH17" i="4" s="1"/>
  <c r="DC17" i="4"/>
  <c r="DK17" i="4"/>
  <c r="AT18" i="4"/>
  <c r="DF18" i="4"/>
  <c r="DG18" i="4"/>
  <c r="BB18" i="4"/>
  <c r="BD18" i="4"/>
  <c r="BJ18" i="4"/>
  <c r="DD18" i="4" s="1"/>
  <c r="BR18" i="4"/>
  <c r="CM18" i="4"/>
  <c r="DB18" i="4" s="1"/>
  <c r="DA18" i="4"/>
  <c r="DH18" i="4" s="1"/>
  <c r="DC18" i="4"/>
  <c r="DF19" i="4"/>
  <c r="DK19" i="4"/>
  <c r="DG19" i="4"/>
  <c r="BB19" i="4"/>
  <c r="BD19" i="4"/>
  <c r="BJ19" i="4"/>
  <c r="BR19" i="4"/>
  <c r="CM19" i="4"/>
  <c r="DA19" i="4"/>
  <c r="DH19" i="4" s="1"/>
  <c r="DB19" i="4"/>
  <c r="DC19" i="4"/>
  <c r="DF20" i="4"/>
  <c r="DG20" i="4"/>
  <c r="BB20" i="4"/>
  <c r="BD20" i="4"/>
  <c r="BJ20" i="4"/>
  <c r="BR20" i="4"/>
  <c r="CM20" i="4"/>
  <c r="DB20" i="4" s="1"/>
  <c r="DA20" i="4"/>
  <c r="DH20" i="4" s="1"/>
  <c r="DC20" i="4"/>
  <c r="A21" i="4"/>
  <c r="A33" i="4" s="1"/>
  <c r="DF21" i="4"/>
  <c r="BB21" i="4"/>
  <c r="DE21" i="4" s="1"/>
  <c r="BD21" i="4"/>
  <c r="DK21" i="4" s="1"/>
  <c r="BJ21" i="4"/>
  <c r="BR21" i="4"/>
  <c r="CM21" i="4"/>
  <c r="DB21" i="4" s="1"/>
  <c r="DA21" i="4"/>
  <c r="DC21" i="4"/>
  <c r="DG21" i="4"/>
  <c r="DH21" i="4"/>
  <c r="DE22" i="4"/>
  <c r="DG22" i="4"/>
  <c r="BB22" i="4"/>
  <c r="BD22" i="4"/>
  <c r="DK22" i="4" s="1"/>
  <c r="BJ22" i="4"/>
  <c r="BR22" i="4"/>
  <c r="CM22" i="4"/>
  <c r="DB22" i="4" s="1"/>
  <c r="DA22" i="4"/>
  <c r="DC22" i="4"/>
  <c r="DF22" i="4"/>
  <c r="DH22" i="4"/>
  <c r="DF23" i="4"/>
  <c r="DK23" i="4"/>
  <c r="BB23" i="4"/>
  <c r="BD23" i="4"/>
  <c r="BJ23" i="4"/>
  <c r="BR23" i="4"/>
  <c r="DD23" i="4" s="1"/>
  <c r="CM23" i="4"/>
  <c r="DB23" i="4" s="1"/>
  <c r="DA23" i="4"/>
  <c r="DH23" i="4" s="1"/>
  <c r="DC23" i="4"/>
  <c r="DG23" i="4"/>
  <c r="DK24" i="4"/>
  <c r="DG24" i="4"/>
  <c r="BB24" i="4"/>
  <c r="DE24" i="4" s="1"/>
  <c r="BD24" i="4"/>
  <c r="BJ24" i="4"/>
  <c r="BR24" i="4"/>
  <c r="CM24" i="4"/>
  <c r="DB24" i="4" s="1"/>
  <c r="DA24" i="4"/>
  <c r="DH24" i="4" s="1"/>
  <c r="DC24" i="4"/>
  <c r="DD24" i="4"/>
  <c r="DF25" i="4"/>
  <c r="DG25" i="4"/>
  <c r="BB25" i="4"/>
  <c r="DE25" i="4" s="1"/>
  <c r="BD25" i="4"/>
  <c r="BJ25" i="4"/>
  <c r="BR25" i="4"/>
  <c r="CM25" i="4"/>
  <c r="DB25" i="4" s="1"/>
  <c r="DA25" i="4"/>
  <c r="DH25" i="4" s="1"/>
  <c r="DC25" i="4"/>
  <c r="DD25" i="4"/>
  <c r="DK25" i="4"/>
  <c r="DF26" i="4"/>
  <c r="BB26" i="4"/>
  <c r="DE26" i="4" s="1"/>
  <c r="BD26" i="4"/>
  <c r="BJ26" i="4"/>
  <c r="DD26" i="4" s="1"/>
  <c r="BR26" i="4"/>
  <c r="CM26" i="4"/>
  <c r="DA26" i="4"/>
  <c r="DB26" i="4"/>
  <c r="DC26" i="4"/>
  <c r="DH26" i="4"/>
  <c r="DK26" i="4"/>
  <c r="AT27" i="4"/>
  <c r="DF27" i="4"/>
  <c r="DG27" i="4"/>
  <c r="BB27" i="4"/>
  <c r="BD27" i="4"/>
  <c r="DK27" i="4" s="1"/>
  <c r="BJ27" i="4"/>
  <c r="DD27" i="4" s="1"/>
  <c r="BR27" i="4"/>
  <c r="CM27" i="4"/>
  <c r="DB27" i="4" s="1"/>
  <c r="DA27" i="4"/>
  <c r="DH27" i="4" s="1"/>
  <c r="DC27" i="4"/>
  <c r="DE27" i="4"/>
  <c r="DO27" i="4" s="1"/>
  <c r="AT28" i="4"/>
  <c r="DK28" i="4"/>
  <c r="DG28" i="4"/>
  <c r="BB28" i="4"/>
  <c r="BD28" i="4"/>
  <c r="BJ28" i="4"/>
  <c r="BR28" i="4"/>
  <c r="CM28" i="4"/>
  <c r="DB28" i="4" s="1"/>
  <c r="DA28" i="4"/>
  <c r="DH28" i="4" s="1"/>
  <c r="DC28" i="4"/>
  <c r="DF29" i="4"/>
  <c r="BB29" i="4"/>
  <c r="BD29" i="4"/>
  <c r="BJ29" i="4"/>
  <c r="BR29" i="4"/>
  <c r="CM29" i="4"/>
  <c r="DB29" i="4" s="1"/>
  <c r="DA29" i="4"/>
  <c r="DH29" i="4" s="1"/>
  <c r="DC29" i="4"/>
  <c r="DG29" i="4"/>
  <c r="DG30" i="4"/>
  <c r="BB30" i="4"/>
  <c r="BD30" i="4"/>
  <c r="DK30" i="4" s="1"/>
  <c r="BJ30" i="4"/>
  <c r="DD30" i="4" s="1"/>
  <c r="BR30" i="4"/>
  <c r="CM30" i="4"/>
  <c r="DB30" i="4" s="1"/>
  <c r="DA30" i="4"/>
  <c r="DC30" i="4"/>
  <c r="DH30" i="4"/>
  <c r="DF31" i="4"/>
  <c r="BB31" i="4"/>
  <c r="BD31" i="4"/>
  <c r="BJ31" i="4"/>
  <c r="BR31" i="4"/>
  <c r="DD31" i="4" s="1"/>
  <c r="CM31" i="4"/>
  <c r="DB31" i="4" s="1"/>
  <c r="DA31" i="4"/>
  <c r="DH31" i="4" s="1"/>
  <c r="DC31" i="4"/>
  <c r="DG31" i="4"/>
  <c r="DK32" i="4"/>
  <c r="DG32" i="4"/>
  <c r="BB32" i="4"/>
  <c r="DE32" i="4" s="1"/>
  <c r="BD32" i="4"/>
  <c r="BJ32" i="4"/>
  <c r="BR32" i="4"/>
  <c r="DD32" i="4" s="1"/>
  <c r="CM32" i="4"/>
  <c r="DA32" i="4"/>
  <c r="DH32" i="4" s="1"/>
  <c r="DB32" i="4"/>
  <c r="DC32" i="4"/>
  <c r="DK33" i="4"/>
  <c r="DG33" i="4"/>
  <c r="BB33" i="4"/>
  <c r="BD33" i="4"/>
  <c r="BJ33" i="4"/>
  <c r="BR33" i="4"/>
  <c r="CM33" i="4"/>
  <c r="DA33" i="4"/>
  <c r="DB33" i="4"/>
  <c r="DC33" i="4"/>
  <c r="DD33" i="4"/>
  <c r="DH33" i="4"/>
  <c r="DF34" i="4"/>
  <c r="BB34" i="4"/>
  <c r="BD34" i="4"/>
  <c r="BJ34" i="4"/>
  <c r="BR34" i="4"/>
  <c r="CM34" i="4"/>
  <c r="DB34" i="4" s="1"/>
  <c r="DA34" i="4"/>
  <c r="DH34" i="4" s="1"/>
  <c r="DC34" i="4"/>
  <c r="DG34" i="4"/>
  <c r="DG35" i="4"/>
  <c r="BB35" i="4"/>
  <c r="BD35" i="4"/>
  <c r="BJ35" i="4"/>
  <c r="DD35" i="4" s="1"/>
  <c r="BR35" i="4"/>
  <c r="CM35" i="4"/>
  <c r="DB35" i="4" s="1"/>
  <c r="DA35" i="4"/>
  <c r="DH35" i="4" s="1"/>
  <c r="DC35" i="4"/>
  <c r="DK35" i="4"/>
  <c r="DE36" i="4"/>
  <c r="DF36" i="4"/>
  <c r="DG36" i="4"/>
  <c r="BB36" i="4"/>
  <c r="BD36" i="4"/>
  <c r="BJ36" i="4"/>
  <c r="BR36" i="4"/>
  <c r="DD36" i="4" s="1"/>
  <c r="CM36" i="4"/>
  <c r="DB36" i="4" s="1"/>
  <c r="DA36" i="4"/>
  <c r="DH36" i="4" s="1"/>
  <c r="DC36" i="4"/>
  <c r="B37" i="4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DF37" i="4"/>
  <c r="BB37" i="4"/>
  <c r="BD37" i="4"/>
  <c r="BJ37" i="4"/>
  <c r="BR37" i="4"/>
  <c r="CM37" i="4"/>
  <c r="DB37" i="4" s="1"/>
  <c r="DA37" i="4"/>
  <c r="DH37" i="4" s="1"/>
  <c r="DC37" i="4"/>
  <c r="DK37" i="4"/>
  <c r="DF38" i="4"/>
  <c r="DG38" i="4"/>
  <c r="BB38" i="4"/>
  <c r="BD38" i="4"/>
  <c r="BJ38" i="4"/>
  <c r="BR38" i="4"/>
  <c r="DD38" i="4" s="1"/>
  <c r="CM38" i="4"/>
  <c r="DB38" i="4" s="1"/>
  <c r="DA38" i="4"/>
  <c r="DH38" i="4" s="1"/>
  <c r="DC38" i="4"/>
  <c r="DF39" i="4"/>
  <c r="DG39" i="4"/>
  <c r="BB39" i="4"/>
  <c r="DE39" i="4" s="1"/>
  <c r="BD39" i="4"/>
  <c r="BJ39" i="4"/>
  <c r="DD39" i="4" s="1"/>
  <c r="BR39" i="4"/>
  <c r="CM39" i="4"/>
  <c r="DB39" i="4" s="1"/>
  <c r="DA39" i="4"/>
  <c r="DC39" i="4"/>
  <c r="DH39" i="4"/>
  <c r="DK39" i="4"/>
  <c r="AT40" i="4"/>
  <c r="DF40" i="4"/>
  <c r="BB40" i="4"/>
  <c r="BD40" i="4"/>
  <c r="DK40" i="4" s="1"/>
  <c r="BJ40" i="4"/>
  <c r="BR40" i="4"/>
  <c r="CM40" i="4"/>
  <c r="DB40" i="4" s="1"/>
  <c r="DA40" i="4"/>
  <c r="DH40" i="4" s="1"/>
  <c r="DC40" i="4"/>
  <c r="DG40" i="4"/>
  <c r="BB41" i="4"/>
  <c r="BD41" i="4"/>
  <c r="BJ41" i="4"/>
  <c r="BR41" i="4"/>
  <c r="CM41" i="4"/>
  <c r="DB41" i="4" s="1"/>
  <c r="DA41" i="4"/>
  <c r="DC41" i="4"/>
  <c r="DH41" i="4"/>
  <c r="DE42" i="4"/>
  <c r="BB42" i="4"/>
  <c r="BD42" i="4"/>
  <c r="BJ42" i="4"/>
  <c r="BR42" i="4"/>
  <c r="DD42" i="4" s="1"/>
  <c r="CM42" i="4"/>
  <c r="DB42" i="4" s="1"/>
  <c r="DA42" i="4"/>
  <c r="DH42" i="4" s="1"/>
  <c r="DC42" i="4"/>
  <c r="BB43" i="4"/>
  <c r="BD43" i="4"/>
  <c r="BJ43" i="4"/>
  <c r="BR43" i="4"/>
  <c r="DD43" i="4" s="1"/>
  <c r="CM43" i="4"/>
  <c r="DA43" i="4"/>
  <c r="DH43" i="4" s="1"/>
  <c r="DB43" i="4"/>
  <c r="DC43" i="4"/>
  <c r="BB44" i="4"/>
  <c r="BD44" i="4"/>
  <c r="BJ44" i="4"/>
  <c r="BR44" i="4"/>
  <c r="CM44" i="4"/>
  <c r="DB44" i="4" s="1"/>
  <c r="DA44" i="4"/>
  <c r="DH44" i="4" s="1"/>
  <c r="DC44" i="4"/>
  <c r="DE44" i="4"/>
  <c r="A45" i="4"/>
  <c r="A57" i="4" s="1"/>
  <c r="A69" i="4" s="1"/>
  <c r="A81" i="4" s="1"/>
  <c r="BB45" i="4"/>
  <c r="BD45" i="4"/>
  <c r="BJ45" i="4"/>
  <c r="DD45" i="4" s="1"/>
  <c r="BR45" i="4"/>
  <c r="CM45" i="4"/>
  <c r="DB45" i="4" s="1"/>
  <c r="DA45" i="4"/>
  <c r="DH45" i="4" s="1"/>
  <c r="DC45" i="4"/>
  <c r="DE45" i="4"/>
  <c r="BB46" i="4"/>
  <c r="BD46" i="4"/>
  <c r="BJ46" i="4"/>
  <c r="BR46" i="4"/>
  <c r="CM46" i="4"/>
  <c r="DA46" i="4"/>
  <c r="DH46" i="4" s="1"/>
  <c r="DB46" i="4"/>
  <c r="DC46" i="4"/>
  <c r="BB47" i="4"/>
  <c r="DE47" i="4" s="1"/>
  <c r="BD47" i="4"/>
  <c r="BJ47" i="4"/>
  <c r="BR47" i="4"/>
  <c r="DD47" i="4" s="1"/>
  <c r="CM47" i="4"/>
  <c r="DB47" i="4" s="1"/>
  <c r="DA47" i="4"/>
  <c r="DH47" i="4" s="1"/>
  <c r="DC47" i="4"/>
  <c r="BB48" i="4"/>
  <c r="DE48" i="4" s="1"/>
  <c r="BD48" i="4"/>
  <c r="BJ48" i="4"/>
  <c r="DD48" i="4" s="1"/>
  <c r="BR48" i="4"/>
  <c r="CM48" i="4"/>
  <c r="DB48" i="4" s="1"/>
  <c r="DA48" i="4"/>
  <c r="DC48" i="4"/>
  <c r="DH48" i="4"/>
  <c r="BB49" i="4"/>
  <c r="BD49" i="4"/>
  <c r="BJ49" i="4"/>
  <c r="BR49" i="4"/>
  <c r="CM49" i="4"/>
  <c r="DA49" i="4"/>
  <c r="DH49" i="4" s="1"/>
  <c r="DB49" i="4"/>
  <c r="DC49" i="4"/>
  <c r="DE49" i="4"/>
  <c r="DE50" i="4"/>
  <c r="BB50" i="4"/>
  <c r="BD50" i="4"/>
  <c r="BJ50" i="4"/>
  <c r="DD50" i="4" s="1"/>
  <c r="BR50" i="4"/>
  <c r="CM50" i="4"/>
  <c r="DB50" i="4" s="1"/>
  <c r="DA50" i="4"/>
  <c r="DH50" i="4" s="1"/>
  <c r="DC50" i="4"/>
  <c r="BB51" i="4"/>
  <c r="BD51" i="4"/>
  <c r="BJ51" i="4"/>
  <c r="BR51" i="4"/>
  <c r="DD51" i="4" s="1"/>
  <c r="CM51" i="4"/>
  <c r="DB51" i="4" s="1"/>
  <c r="DA51" i="4"/>
  <c r="DH51" i="4" s="1"/>
  <c r="DC51" i="4"/>
  <c r="BB52" i="4"/>
  <c r="DE52" i="4" s="1"/>
  <c r="BD52" i="4"/>
  <c r="BJ52" i="4"/>
  <c r="BR52" i="4"/>
  <c r="DD52" i="4" s="1"/>
  <c r="CM52" i="4"/>
  <c r="DB52" i="4" s="1"/>
  <c r="DA52" i="4"/>
  <c r="DH52" i="4" s="1"/>
  <c r="DC52" i="4"/>
  <c r="BB53" i="4"/>
  <c r="DE53" i="4" s="1"/>
  <c r="DO53" i="4" s="1"/>
  <c r="BD53" i="4"/>
  <c r="BJ53" i="4"/>
  <c r="DD53" i="4" s="1"/>
  <c r="BR53" i="4"/>
  <c r="CM53" i="4"/>
  <c r="DA53" i="4"/>
  <c r="DH53" i="4" s="1"/>
  <c r="DB53" i="4"/>
  <c r="DC53" i="4"/>
  <c r="BB54" i="4"/>
  <c r="BD54" i="4"/>
  <c r="BJ54" i="4"/>
  <c r="BR54" i="4"/>
  <c r="CM54" i="4"/>
  <c r="DA54" i="4"/>
  <c r="DB54" i="4"/>
  <c r="DC54" i="4"/>
  <c r="DH54" i="4"/>
  <c r="DE55" i="4"/>
  <c r="BB55" i="4"/>
  <c r="BD55" i="4"/>
  <c r="BJ55" i="4"/>
  <c r="DD55" i="4" s="1"/>
  <c r="BR55" i="4"/>
  <c r="CM55" i="4"/>
  <c r="DB55" i="4" s="1"/>
  <c r="DA55" i="4"/>
  <c r="DH55" i="4" s="1"/>
  <c r="DC55" i="4"/>
  <c r="DE56" i="4"/>
  <c r="BB56" i="4"/>
  <c r="BD56" i="4"/>
  <c r="BJ56" i="4"/>
  <c r="DD56" i="4" s="1"/>
  <c r="BR56" i="4"/>
  <c r="CM56" i="4"/>
  <c r="DB56" i="4" s="1"/>
  <c r="DA56" i="4"/>
  <c r="DC56" i="4"/>
  <c r="DH56" i="4"/>
  <c r="BB57" i="4"/>
  <c r="BD57" i="4"/>
  <c r="BJ57" i="4"/>
  <c r="BR57" i="4"/>
  <c r="CM57" i="4"/>
  <c r="DB57" i="4" s="1"/>
  <c r="DA57" i="4"/>
  <c r="DH57" i="4" s="1"/>
  <c r="DC57" i="4"/>
  <c r="DD57" i="4"/>
  <c r="DE57" i="4"/>
  <c r="BB58" i="4"/>
  <c r="BD58" i="4"/>
  <c r="BJ58" i="4"/>
  <c r="BR58" i="4"/>
  <c r="CM58" i="4"/>
  <c r="DA58" i="4"/>
  <c r="DH58" i="4" s="1"/>
  <c r="DB58" i="4"/>
  <c r="DC58" i="4"/>
  <c r="BB59" i="4"/>
  <c r="BD59" i="4"/>
  <c r="BJ59" i="4"/>
  <c r="DD59" i="4" s="1"/>
  <c r="BR59" i="4"/>
  <c r="CM59" i="4"/>
  <c r="DB59" i="4" s="1"/>
  <c r="DA59" i="4"/>
  <c r="DH59" i="4" s="1"/>
  <c r="DC59" i="4"/>
  <c r="BB60" i="4"/>
  <c r="BD60" i="4"/>
  <c r="BJ60" i="4"/>
  <c r="BR60" i="4"/>
  <c r="CM60" i="4"/>
  <c r="DB60" i="4" s="1"/>
  <c r="DA60" i="4"/>
  <c r="DC60" i="4"/>
  <c r="DH60" i="4"/>
  <c r="BB61" i="4"/>
  <c r="BD61" i="4"/>
  <c r="BJ61" i="4"/>
  <c r="BR61" i="4"/>
  <c r="DD61" i="4" s="1"/>
  <c r="CM61" i="4"/>
  <c r="DB61" i="4" s="1"/>
  <c r="DA61" i="4"/>
  <c r="DH61" i="4" s="1"/>
  <c r="DC61" i="4"/>
  <c r="DE62" i="4"/>
  <c r="BB62" i="4"/>
  <c r="BD62" i="4"/>
  <c r="BJ62" i="4"/>
  <c r="BR62" i="4"/>
  <c r="DD62" i="4" s="1"/>
  <c r="CM62" i="4"/>
  <c r="DA62" i="4"/>
  <c r="DH62" i="4" s="1"/>
  <c r="DB62" i="4"/>
  <c r="DC62" i="4"/>
  <c r="BB63" i="4"/>
  <c r="BD63" i="4"/>
  <c r="BJ63" i="4"/>
  <c r="BR63" i="4"/>
  <c r="CM63" i="4"/>
  <c r="DB63" i="4" s="1"/>
  <c r="DA63" i="4"/>
  <c r="DH63" i="4" s="1"/>
  <c r="DC63" i="4"/>
  <c r="BB64" i="4"/>
  <c r="BD64" i="4"/>
  <c r="BJ64" i="4"/>
  <c r="DD64" i="4" s="1"/>
  <c r="BR64" i="4"/>
  <c r="CM64" i="4"/>
  <c r="DA64" i="4"/>
  <c r="DH64" i="4" s="1"/>
  <c r="DB64" i="4"/>
  <c r="DC64" i="4"/>
  <c r="DE65" i="4"/>
  <c r="BB65" i="4"/>
  <c r="BD65" i="4"/>
  <c r="BJ65" i="4"/>
  <c r="BR65" i="4"/>
  <c r="CM65" i="4"/>
  <c r="DB65" i="4" s="1"/>
  <c r="DA65" i="4"/>
  <c r="DH65" i="4" s="1"/>
  <c r="DC65" i="4"/>
  <c r="DD65" i="4"/>
  <c r="BB66" i="4"/>
  <c r="DE66" i="4" s="1"/>
  <c r="BD66" i="4"/>
  <c r="BJ66" i="4"/>
  <c r="BR66" i="4"/>
  <c r="CM66" i="4"/>
  <c r="DB66" i="4" s="1"/>
  <c r="DA66" i="4"/>
  <c r="DH66" i="4" s="1"/>
  <c r="DC66" i="4"/>
  <c r="DE67" i="4"/>
  <c r="BB67" i="4"/>
  <c r="BD67" i="4"/>
  <c r="BJ67" i="4"/>
  <c r="BR67" i="4"/>
  <c r="CM67" i="4"/>
  <c r="DB67" i="4" s="1"/>
  <c r="DA67" i="4"/>
  <c r="DH67" i="4" s="1"/>
  <c r="DC67" i="4"/>
  <c r="BB68" i="4"/>
  <c r="BD68" i="4"/>
  <c r="BJ68" i="4"/>
  <c r="BR68" i="4"/>
  <c r="CM68" i="4"/>
  <c r="DB68" i="4" s="1"/>
  <c r="DA68" i="4"/>
  <c r="DC68" i="4"/>
  <c r="DH68" i="4"/>
  <c r="BB69" i="4"/>
  <c r="BD69" i="4"/>
  <c r="BJ69" i="4"/>
  <c r="BR69" i="4"/>
  <c r="CM69" i="4"/>
  <c r="DB69" i="4" s="1"/>
  <c r="DA69" i="4"/>
  <c r="DC69" i="4"/>
  <c r="DH69" i="4"/>
  <c r="BB70" i="4"/>
  <c r="BD70" i="4"/>
  <c r="BJ70" i="4"/>
  <c r="BR70" i="4"/>
  <c r="DD70" i="4" s="1"/>
  <c r="CM70" i="4"/>
  <c r="DB70" i="4" s="1"/>
  <c r="DA70" i="4"/>
  <c r="DC70" i="4"/>
  <c r="DH70" i="4"/>
  <c r="DE71" i="4"/>
  <c r="BB71" i="4"/>
  <c r="BD71" i="4"/>
  <c r="BJ71" i="4"/>
  <c r="BR71" i="4"/>
  <c r="DD71" i="4" s="1"/>
  <c r="CM71" i="4"/>
  <c r="DA71" i="4"/>
  <c r="DH71" i="4" s="1"/>
  <c r="DB71" i="4"/>
  <c r="DC71" i="4"/>
  <c r="BB72" i="4"/>
  <c r="DE72" i="4" s="1"/>
  <c r="BD72" i="4"/>
  <c r="BJ72" i="4"/>
  <c r="BR72" i="4"/>
  <c r="CM72" i="4"/>
  <c r="DB72" i="4" s="1"/>
  <c r="DO72" i="4" s="1"/>
  <c r="DA72" i="4"/>
  <c r="DH72" i="4" s="1"/>
  <c r="DC72" i="4"/>
  <c r="BB73" i="4"/>
  <c r="BD73" i="4"/>
  <c r="BJ73" i="4"/>
  <c r="DD73" i="4" s="1"/>
  <c r="BR73" i="4"/>
  <c r="CM73" i="4"/>
  <c r="DA73" i="4"/>
  <c r="DB73" i="4"/>
  <c r="DC73" i="4"/>
  <c r="DH73" i="4"/>
  <c r="DE74" i="4"/>
  <c r="BB74" i="4"/>
  <c r="BD74" i="4"/>
  <c r="BJ74" i="4"/>
  <c r="BR74" i="4"/>
  <c r="CM74" i="4"/>
  <c r="DB74" i="4" s="1"/>
  <c r="DA74" i="4"/>
  <c r="DH74" i="4" s="1"/>
  <c r="DC74" i="4"/>
  <c r="DD74" i="4"/>
  <c r="DE75" i="4"/>
  <c r="BB75" i="4"/>
  <c r="BD75" i="4"/>
  <c r="BJ75" i="4"/>
  <c r="BR75" i="4"/>
  <c r="CM75" i="4"/>
  <c r="DB75" i="4" s="1"/>
  <c r="DA75" i="4"/>
  <c r="DH75" i="4" s="1"/>
  <c r="DC75" i="4"/>
  <c r="BB76" i="4"/>
  <c r="BD76" i="4"/>
  <c r="BJ76" i="4"/>
  <c r="BR76" i="4"/>
  <c r="CM76" i="4"/>
  <c r="DA76" i="4"/>
  <c r="DB76" i="4"/>
  <c r="DC76" i="4"/>
  <c r="DH76" i="4"/>
  <c r="BB77" i="4"/>
  <c r="BD77" i="4"/>
  <c r="BJ77" i="4"/>
  <c r="BR77" i="4"/>
  <c r="CM77" i="4"/>
  <c r="DB77" i="4" s="1"/>
  <c r="DA77" i="4"/>
  <c r="DC77" i="4"/>
  <c r="DH77" i="4"/>
  <c r="BB78" i="4"/>
  <c r="BD78" i="4"/>
  <c r="BJ78" i="4"/>
  <c r="BR78" i="4"/>
  <c r="CM78" i="4"/>
  <c r="DB78" i="4" s="1"/>
  <c r="DA78" i="4"/>
  <c r="DH78" i="4" s="1"/>
  <c r="DC78" i="4"/>
  <c r="BB79" i="4"/>
  <c r="BD79" i="4"/>
  <c r="BJ79" i="4"/>
  <c r="BR79" i="4"/>
  <c r="DD79" i="4" s="1"/>
  <c r="CM79" i="4"/>
  <c r="DB79" i="4" s="1"/>
  <c r="DA79" i="4"/>
  <c r="DH79" i="4" s="1"/>
  <c r="DC79" i="4"/>
  <c r="DE79" i="4"/>
  <c r="DE80" i="4"/>
  <c r="BB80" i="4"/>
  <c r="BD80" i="4"/>
  <c r="BJ80" i="4"/>
  <c r="BR80" i="4"/>
  <c r="CM80" i="4"/>
  <c r="DB80" i="4" s="1"/>
  <c r="DA80" i="4"/>
  <c r="DH80" i="4" s="1"/>
  <c r="DC80" i="4"/>
  <c r="BB81" i="4"/>
  <c r="BD81" i="4"/>
  <c r="BJ81" i="4"/>
  <c r="DD81" i="4" s="1"/>
  <c r="BR81" i="4"/>
  <c r="CM81" i="4"/>
  <c r="DA81" i="4"/>
  <c r="DH81" i="4" s="1"/>
  <c r="DB81" i="4"/>
  <c r="DC81" i="4"/>
  <c r="BB82" i="4"/>
  <c r="BD82" i="4"/>
  <c r="BJ82" i="4"/>
  <c r="BR82" i="4"/>
  <c r="DD82" i="4" s="1"/>
  <c r="CM82" i="4"/>
  <c r="DA82" i="4"/>
  <c r="DB82" i="4"/>
  <c r="DC82" i="4"/>
  <c r="DH82" i="4"/>
  <c r="DE83" i="4"/>
  <c r="BB83" i="4"/>
  <c r="BD83" i="4"/>
  <c r="BJ83" i="4"/>
  <c r="DD83" i="4" s="1"/>
  <c r="BR83" i="4"/>
  <c r="CM83" i="4"/>
  <c r="DB83" i="4" s="1"/>
  <c r="DA83" i="4"/>
  <c r="DH83" i="4" s="1"/>
  <c r="DC83" i="4"/>
  <c r="BB84" i="4"/>
  <c r="DE84" i="4" s="1"/>
  <c r="BD84" i="4"/>
  <c r="BJ84" i="4"/>
  <c r="DD84" i="4" s="1"/>
  <c r="BR84" i="4"/>
  <c r="CM84" i="4"/>
  <c r="DA84" i="4"/>
  <c r="DH84" i="4" s="1"/>
  <c r="DB84" i="4"/>
  <c r="DC84" i="4"/>
  <c r="DE85" i="4"/>
  <c r="AS85" i="4"/>
  <c r="BB85" i="4"/>
  <c r="BD85" i="4"/>
  <c r="BJ85" i="4"/>
  <c r="BR85" i="4"/>
  <c r="CM85" i="4"/>
  <c r="DA85" i="4"/>
  <c r="DH85" i="4" s="1"/>
  <c r="DB85" i="4"/>
  <c r="DC85" i="4"/>
  <c r="DE86" i="4"/>
  <c r="BB86" i="4"/>
  <c r="BD86" i="4"/>
  <c r="BJ86" i="4"/>
  <c r="BR86" i="4"/>
  <c r="CM86" i="4"/>
  <c r="DB86" i="4" s="1"/>
  <c r="DA86" i="4"/>
  <c r="DH86" i="4" s="1"/>
  <c r="DC86" i="4"/>
  <c r="BB87" i="4"/>
  <c r="BD87" i="4"/>
  <c r="BJ87" i="4"/>
  <c r="DD87" i="4" s="1"/>
  <c r="BR87" i="4"/>
  <c r="CM87" i="4"/>
  <c r="DB87" i="4" s="1"/>
  <c r="DA87" i="4"/>
  <c r="DH87" i="4" s="1"/>
  <c r="DC87" i="4"/>
  <c r="BB88" i="4"/>
  <c r="BD88" i="4"/>
  <c r="BJ88" i="4"/>
  <c r="DD88" i="4" s="1"/>
  <c r="BR88" i="4"/>
  <c r="CM88" i="4"/>
  <c r="DA88" i="4"/>
  <c r="DB88" i="4"/>
  <c r="DC88" i="4"/>
  <c r="DE88" i="4"/>
  <c r="DH88" i="4"/>
  <c r="DE89" i="4"/>
  <c r="BB89" i="4"/>
  <c r="BD89" i="4"/>
  <c r="BJ89" i="4"/>
  <c r="BR89" i="4"/>
  <c r="CM89" i="4"/>
  <c r="DB89" i="4" s="1"/>
  <c r="DA89" i="4"/>
  <c r="DH89" i="4" s="1"/>
  <c r="DC89" i="4"/>
  <c r="DD89" i="4"/>
  <c r="DE90" i="4"/>
  <c r="BB90" i="4"/>
  <c r="BD90" i="4"/>
  <c r="BJ90" i="4"/>
  <c r="DD90" i="4" s="1"/>
  <c r="BR90" i="4"/>
  <c r="CM90" i="4"/>
  <c r="DA90" i="4"/>
  <c r="DH90" i="4" s="1"/>
  <c r="DB90" i="4"/>
  <c r="DC90" i="4"/>
  <c r="BB91" i="4"/>
  <c r="DE91" i="4" s="1"/>
  <c r="BD91" i="4"/>
  <c r="BJ91" i="4"/>
  <c r="DD91" i="4" s="1"/>
  <c r="BR91" i="4"/>
  <c r="CM91" i="4"/>
  <c r="DB91" i="4" s="1"/>
  <c r="DA91" i="4"/>
  <c r="DC91" i="4"/>
  <c r="DH91" i="4"/>
  <c r="BB92" i="4"/>
  <c r="BD92" i="4"/>
  <c r="BJ92" i="4"/>
  <c r="BR92" i="4"/>
  <c r="CM92" i="4"/>
  <c r="DA92" i="4"/>
  <c r="DH92" i="4" s="1"/>
  <c r="DB92" i="4"/>
  <c r="DC92" i="4"/>
  <c r="DD92" i="4"/>
  <c r="A93" i="4"/>
  <c r="A105" i="4" s="1"/>
  <c r="BB93" i="4"/>
  <c r="BD93" i="4"/>
  <c r="BJ93" i="4"/>
  <c r="DD93" i="4" s="1"/>
  <c r="BR93" i="4"/>
  <c r="CM93" i="4"/>
  <c r="DB93" i="4" s="1"/>
  <c r="DA93" i="4"/>
  <c r="DH93" i="4" s="1"/>
  <c r="DC93" i="4"/>
  <c r="DE94" i="4"/>
  <c r="BB94" i="4"/>
  <c r="BD94" i="4"/>
  <c r="BJ94" i="4"/>
  <c r="BR94" i="4"/>
  <c r="DD94" i="4" s="1"/>
  <c r="CM94" i="4"/>
  <c r="DB94" i="4" s="1"/>
  <c r="DA94" i="4"/>
  <c r="DC94" i="4"/>
  <c r="DH94" i="4"/>
  <c r="BB95" i="4"/>
  <c r="DE95" i="4" s="1"/>
  <c r="BD95" i="4"/>
  <c r="BJ95" i="4"/>
  <c r="DD95" i="4" s="1"/>
  <c r="BR95" i="4"/>
  <c r="CM95" i="4"/>
  <c r="DB95" i="4" s="1"/>
  <c r="DA95" i="4"/>
  <c r="DH95" i="4" s="1"/>
  <c r="DC95" i="4"/>
  <c r="BB96" i="4"/>
  <c r="BD96" i="4"/>
  <c r="BJ96" i="4"/>
  <c r="BR96" i="4"/>
  <c r="CM96" i="4"/>
  <c r="DA96" i="4"/>
  <c r="DH96" i="4" s="1"/>
  <c r="DB96" i="4"/>
  <c r="DC96" i="4"/>
  <c r="DD96" i="4"/>
  <c r="DE97" i="4"/>
  <c r="BB97" i="4"/>
  <c r="BD97" i="4"/>
  <c r="BJ97" i="4"/>
  <c r="BR97" i="4"/>
  <c r="CM97" i="4"/>
  <c r="DB97" i="4" s="1"/>
  <c r="DA97" i="4"/>
  <c r="DH97" i="4" s="1"/>
  <c r="DC97" i="4"/>
  <c r="BB98" i="4"/>
  <c r="BD98" i="4"/>
  <c r="BJ98" i="4"/>
  <c r="DD98" i="4" s="1"/>
  <c r="BR98" i="4"/>
  <c r="CM98" i="4"/>
  <c r="DB98" i="4" s="1"/>
  <c r="DA98" i="4"/>
  <c r="DH98" i="4" s="1"/>
  <c r="DC98" i="4"/>
  <c r="BB99" i="4"/>
  <c r="DE99" i="4" s="1"/>
  <c r="BD99" i="4"/>
  <c r="BJ99" i="4"/>
  <c r="DD99" i="4" s="1"/>
  <c r="BR99" i="4"/>
  <c r="CM99" i="4"/>
  <c r="DB99" i="4" s="1"/>
  <c r="DA99" i="4"/>
  <c r="DC99" i="4"/>
  <c r="DH99" i="4"/>
  <c r="DE100" i="4"/>
  <c r="BB100" i="4"/>
  <c r="BD100" i="4"/>
  <c r="BJ100" i="4"/>
  <c r="BR100" i="4"/>
  <c r="CM100" i="4"/>
  <c r="DB100" i="4" s="1"/>
  <c r="DA100" i="4"/>
  <c r="DC100" i="4"/>
  <c r="DH100" i="4"/>
  <c r="BB101" i="4"/>
  <c r="BD101" i="4"/>
  <c r="BJ101" i="4"/>
  <c r="DD101" i="4" s="1"/>
  <c r="BR101" i="4"/>
  <c r="CM101" i="4"/>
  <c r="DA101" i="4"/>
  <c r="DH101" i="4" s="1"/>
  <c r="DB101" i="4"/>
  <c r="DC101" i="4"/>
  <c r="BB102" i="4"/>
  <c r="BD102" i="4"/>
  <c r="BJ102" i="4"/>
  <c r="BR102" i="4"/>
  <c r="DD102" i="4" s="1"/>
  <c r="CM102" i="4"/>
  <c r="DB102" i="4" s="1"/>
  <c r="DA102" i="4"/>
  <c r="DH102" i="4" s="1"/>
  <c r="DC102" i="4"/>
  <c r="DE102" i="4"/>
  <c r="BB103" i="4"/>
  <c r="BD103" i="4"/>
  <c r="BJ103" i="4"/>
  <c r="BR103" i="4"/>
  <c r="CM103" i="4"/>
  <c r="DB103" i="4" s="1"/>
  <c r="DA103" i="4"/>
  <c r="DH103" i="4" s="1"/>
  <c r="DC103" i="4"/>
  <c r="DE104" i="4"/>
  <c r="BB104" i="4"/>
  <c r="BD104" i="4"/>
  <c r="BJ104" i="4"/>
  <c r="BR104" i="4"/>
  <c r="DD104" i="4" s="1"/>
  <c r="CM104" i="4"/>
  <c r="DB104" i="4" s="1"/>
  <c r="DA104" i="4"/>
  <c r="DH104" i="4" s="1"/>
  <c r="DC104" i="4"/>
  <c r="BB105" i="4"/>
  <c r="DE105" i="4" s="1"/>
  <c r="BD105" i="4"/>
  <c r="BJ105" i="4"/>
  <c r="BR105" i="4"/>
  <c r="CM105" i="4"/>
  <c r="DA105" i="4"/>
  <c r="DH105" i="4" s="1"/>
  <c r="DB105" i="4"/>
  <c r="DC105" i="4"/>
  <c r="DE106" i="4"/>
  <c r="BB106" i="4"/>
  <c r="BD106" i="4"/>
  <c r="BJ106" i="4"/>
  <c r="BR106" i="4"/>
  <c r="CM106" i="4"/>
  <c r="DA106" i="4"/>
  <c r="DH106" i="4" s="1"/>
  <c r="DB106" i="4"/>
  <c r="DC106" i="4"/>
  <c r="BB107" i="4"/>
  <c r="BD107" i="4"/>
  <c r="BJ107" i="4"/>
  <c r="DD107" i="4" s="1"/>
  <c r="BR107" i="4"/>
  <c r="CM107" i="4"/>
  <c r="DB107" i="4" s="1"/>
  <c r="DA107" i="4"/>
  <c r="DH107" i="4" s="1"/>
  <c r="DC107" i="4"/>
  <c r="BB108" i="4"/>
  <c r="BD108" i="4"/>
  <c r="BJ108" i="4"/>
  <c r="DD108" i="4" s="1"/>
  <c r="BR108" i="4"/>
  <c r="CM108" i="4"/>
  <c r="DB108" i="4" s="1"/>
  <c r="DA108" i="4"/>
  <c r="DC108" i="4"/>
  <c r="DH108" i="4"/>
  <c r="DE109" i="4"/>
  <c r="BB109" i="4"/>
  <c r="BD109" i="4"/>
  <c r="BJ109" i="4"/>
  <c r="DD109" i="4" s="1"/>
  <c r="BR109" i="4"/>
  <c r="CM109" i="4"/>
  <c r="DB109" i="4" s="1"/>
  <c r="DA109" i="4"/>
  <c r="DH109" i="4" s="1"/>
  <c r="DC109" i="4"/>
  <c r="BB110" i="4"/>
  <c r="BD110" i="4"/>
  <c r="BJ110" i="4"/>
  <c r="BR110" i="4"/>
  <c r="CM110" i="4"/>
  <c r="DA110" i="4"/>
  <c r="DH110" i="4" s="1"/>
  <c r="DB110" i="4"/>
  <c r="DC110" i="4"/>
  <c r="DE111" i="4"/>
  <c r="BB111" i="4"/>
  <c r="BD111" i="4"/>
  <c r="BJ111" i="4"/>
  <c r="BR111" i="4"/>
  <c r="DD111" i="4" s="1"/>
  <c r="CM111" i="4"/>
  <c r="DB111" i="4" s="1"/>
  <c r="DA111" i="4"/>
  <c r="DH111" i="4" s="1"/>
  <c r="DC111" i="4"/>
  <c r="BB112" i="4"/>
  <c r="BD112" i="4"/>
  <c r="BJ112" i="4"/>
  <c r="DD112" i="4" s="1"/>
  <c r="BR112" i="4"/>
  <c r="CM112" i="4"/>
  <c r="DB112" i="4" s="1"/>
  <c r="DA112" i="4"/>
  <c r="DH112" i="4" s="1"/>
  <c r="DC112" i="4"/>
  <c r="BB113" i="4"/>
  <c r="BD113" i="4"/>
  <c r="BJ113" i="4"/>
  <c r="DD113" i="4" s="1"/>
  <c r="BR113" i="4"/>
  <c r="CM113" i="4"/>
  <c r="DB113" i="4" s="1"/>
  <c r="DA113" i="4"/>
  <c r="DH113" i="4" s="1"/>
  <c r="DC113" i="4"/>
  <c r="DE113" i="4"/>
  <c r="BB114" i="4"/>
  <c r="BD114" i="4"/>
  <c r="BJ114" i="4"/>
  <c r="DD114" i="4" s="1"/>
  <c r="BR114" i="4"/>
  <c r="CM114" i="4"/>
  <c r="DA114" i="4"/>
  <c r="DB114" i="4"/>
  <c r="DC114" i="4"/>
  <c r="DE114" i="4"/>
  <c r="DH114" i="4"/>
  <c r="DE115" i="4"/>
  <c r="BB115" i="4"/>
  <c r="BD115" i="4"/>
  <c r="BJ115" i="4"/>
  <c r="BR115" i="4"/>
  <c r="CM115" i="4"/>
  <c r="DB115" i="4" s="1"/>
  <c r="DA115" i="4"/>
  <c r="DH115" i="4" s="1"/>
  <c r="DC115" i="4"/>
  <c r="BB116" i="4"/>
  <c r="DE116" i="4" s="1"/>
  <c r="BD116" i="4"/>
  <c r="BJ116" i="4"/>
  <c r="DD116" i="4" s="1"/>
  <c r="BR116" i="4"/>
  <c r="CM116" i="4"/>
  <c r="DB116" i="4" s="1"/>
  <c r="DA116" i="4"/>
  <c r="DH116" i="4" s="1"/>
  <c r="DC116" i="4"/>
  <c r="DO80" i="4" l="1"/>
  <c r="DO25" i="4"/>
  <c r="DP10" i="4"/>
  <c r="DO86" i="4"/>
  <c r="DO36" i="4"/>
  <c r="DO83" i="4"/>
  <c r="DO74" i="4"/>
  <c r="DO52" i="4"/>
  <c r="DO47" i="4"/>
  <c r="DD80" i="4"/>
  <c r="DO45" i="4"/>
  <c r="DE41" i="4"/>
  <c r="DO41" i="4" s="1"/>
  <c r="DO32" i="4"/>
  <c r="DD22" i="4"/>
  <c r="DP22" i="4" s="1"/>
  <c r="AT16" i="4"/>
  <c r="DD115" i="4"/>
  <c r="DO111" i="4"/>
  <c r="DE103" i="4"/>
  <c r="DO103" i="4" s="1"/>
  <c r="DO97" i="4"/>
  <c r="DO89" i="4"/>
  <c r="DD78" i="4"/>
  <c r="DO65" i="4"/>
  <c r="DE64" i="4"/>
  <c r="DO64" i="4" s="1"/>
  <c r="DE63" i="4"/>
  <c r="DO63" i="4" s="1"/>
  <c r="DO42" i="4"/>
  <c r="AT38" i="4"/>
  <c r="DD37" i="4"/>
  <c r="DD29" i="4"/>
  <c r="DD28" i="4"/>
  <c r="AT25" i="4"/>
  <c r="DO24" i="4"/>
  <c r="DE18" i="4"/>
  <c r="DK18" i="4"/>
  <c r="DP18" i="4" s="1"/>
  <c r="DK16" i="4"/>
  <c r="DP16" i="4" s="1"/>
  <c r="DE15" i="4"/>
  <c r="DO15" i="4" s="1"/>
  <c r="AT11" i="4"/>
  <c r="DO57" i="4"/>
  <c r="DO44" i="4"/>
  <c r="DE40" i="4"/>
  <c r="DE33" i="4"/>
  <c r="DO33" i="4" s="1"/>
  <c r="AT30" i="4"/>
  <c r="DO26" i="4"/>
  <c r="DD20" i="4"/>
  <c r="DD19" i="4"/>
  <c r="DP19" i="4" s="1"/>
  <c r="DE17" i="4"/>
  <c r="DO17" i="4" s="1"/>
  <c r="AT13" i="4"/>
  <c r="AT12" i="4"/>
  <c r="DD11" i="4"/>
  <c r="DO106" i="4"/>
  <c r="DO102" i="4"/>
  <c r="DD66" i="4"/>
  <c r="DO55" i="4"/>
  <c r="AT29" i="4"/>
  <c r="DE112" i="4"/>
  <c r="DO112" i="4" s="1"/>
  <c r="DD106" i="4"/>
  <c r="DD97" i="4"/>
  <c r="DD85" i="4"/>
  <c r="DD77" i="4"/>
  <c r="DD46" i="4"/>
  <c r="DE37" i="4"/>
  <c r="DO37" i="4" s="1"/>
  <c r="DE34" i="4"/>
  <c r="DO34" i="4" s="1"/>
  <c r="DE30" i="4"/>
  <c r="DK29" i="4"/>
  <c r="DP29" i="4" s="1"/>
  <c r="DF28" i="4"/>
  <c r="DE28" i="4"/>
  <c r="DO28" i="4" s="1"/>
  <c r="AT21" i="4"/>
  <c r="DE16" i="4"/>
  <c r="DO16" i="4" s="1"/>
  <c r="DK14" i="4"/>
  <c r="DO9" i="4"/>
  <c r="DK9" i="4"/>
  <c r="DP9" i="4" s="1"/>
  <c r="DD75" i="4"/>
  <c r="DO62" i="4"/>
  <c r="DE76" i="4"/>
  <c r="DO76" i="4" s="1"/>
  <c r="DD72" i="4"/>
  <c r="DD110" i="4"/>
  <c r="DD105" i="4"/>
  <c r="DD100" i="4"/>
  <c r="DO91" i="4"/>
  <c r="DD60" i="4"/>
  <c r="DD54" i="4"/>
  <c r="DE51" i="4"/>
  <c r="DO51" i="4" s="1"/>
  <c r="DO48" i="4"/>
  <c r="DD41" i="4"/>
  <c r="DK38" i="4"/>
  <c r="DD34" i="4"/>
  <c r="DK31" i="4"/>
  <c r="DP31" i="4" s="1"/>
  <c r="AT22" i="4"/>
  <c r="DD21" i="4"/>
  <c r="DP21" i="4" s="1"/>
  <c r="DK20" i="4"/>
  <c r="DP20" i="4" s="1"/>
  <c r="DE19" i="4"/>
  <c r="DO19" i="4" s="1"/>
  <c r="DK11" i="4"/>
  <c r="DE7" i="4"/>
  <c r="DO7" i="4" s="1"/>
  <c r="DD103" i="4"/>
  <c r="DO79" i="4"/>
  <c r="DD63" i="4"/>
  <c r="DO114" i="4"/>
  <c r="DE81" i="4"/>
  <c r="DO81" i="4" s="1"/>
  <c r="DD44" i="4"/>
  <c r="DD40" i="4"/>
  <c r="DP40" i="4" s="1"/>
  <c r="DO100" i="4"/>
  <c r="DO88" i="4"/>
  <c r="DO94" i="4"/>
  <c r="DE43" i="4"/>
  <c r="DO43" i="4" s="1"/>
  <c r="DK36" i="4"/>
  <c r="DP36" i="4" s="1"/>
  <c r="DO18" i="4"/>
  <c r="DK12" i="4"/>
  <c r="AT9" i="4"/>
  <c r="DO116" i="4"/>
  <c r="DO109" i="4"/>
  <c r="DO95" i="4"/>
  <c r="DO115" i="4"/>
  <c r="DE93" i="4"/>
  <c r="DO93" i="4" s="1"/>
  <c r="DO67" i="4"/>
  <c r="DE60" i="4"/>
  <c r="DO60" i="4" s="1"/>
  <c r="DO104" i="4"/>
  <c r="DE92" i="4"/>
  <c r="DO92" i="4" s="1"/>
  <c r="DE69" i="4"/>
  <c r="DO69" i="4" s="1"/>
  <c r="AT33" i="4"/>
  <c r="DF33" i="4"/>
  <c r="DP33" i="4" s="1"/>
  <c r="DE82" i="4"/>
  <c r="DO82" i="4" s="1"/>
  <c r="DE98" i="4"/>
  <c r="DO98" i="4" s="1"/>
  <c r="DO90" i="4"/>
  <c r="DE101" i="4"/>
  <c r="DO101" i="4" s="1"/>
  <c r="DE96" i="4"/>
  <c r="DO96" i="4" s="1"/>
  <c r="DE78" i="4"/>
  <c r="DO78" i="4" s="1"/>
  <c r="DO105" i="4"/>
  <c r="DE110" i="4"/>
  <c r="DO110" i="4" s="1"/>
  <c r="DO113" i="4"/>
  <c r="DE107" i="4"/>
  <c r="DO107" i="4" s="1"/>
  <c r="DO99" i="4"/>
  <c r="DK34" i="4"/>
  <c r="AT34" i="4"/>
  <c r="DE108" i="4"/>
  <c r="DO108" i="4" s="1"/>
  <c r="DE87" i="4"/>
  <c r="DO87" i="4" s="1"/>
  <c r="DD76" i="4"/>
  <c r="DE73" i="4"/>
  <c r="DO73" i="4" s="1"/>
  <c r="DD67" i="4"/>
  <c r="DO85" i="4"/>
  <c r="DO75" i="4"/>
  <c r="DD68" i="4"/>
  <c r="DE58" i="4"/>
  <c r="DO58" i="4" s="1"/>
  <c r="AT20" i="4"/>
  <c r="DE20" i="4"/>
  <c r="DO20" i="4" s="1"/>
  <c r="DO84" i="4"/>
  <c r="DO66" i="4"/>
  <c r="DE61" i="4"/>
  <c r="DO61" i="4" s="1"/>
  <c r="DP39" i="4"/>
  <c r="DF35" i="4"/>
  <c r="DP35" i="4" s="1"/>
  <c r="AT35" i="4"/>
  <c r="DP17" i="4"/>
  <c r="AT31" i="4"/>
  <c r="DE31" i="4"/>
  <c r="DD86" i="4"/>
  <c r="DE77" i="4"/>
  <c r="DO77" i="4" s="1"/>
  <c r="DE70" i="4"/>
  <c r="DO70" i="4" s="1"/>
  <c r="DD69" i="4"/>
  <c r="DO50" i="4"/>
  <c r="DO71" i="4"/>
  <c r="DE68" i="4"/>
  <c r="DO68" i="4" s="1"/>
  <c r="AT32" i="4"/>
  <c r="DF32" i="4"/>
  <c r="DO39" i="4"/>
  <c r="AT39" i="4"/>
  <c r="AT36" i="4"/>
  <c r="AT23" i="4"/>
  <c r="DE23" i="4"/>
  <c r="DO23" i="4" s="1"/>
  <c r="DP7" i="4"/>
  <c r="DP6" i="4"/>
  <c r="DD49" i="4"/>
  <c r="DP34" i="4"/>
  <c r="DB4" i="4"/>
  <c r="DO30" i="4"/>
  <c r="AT24" i="4"/>
  <c r="DF24" i="4"/>
  <c r="DP24" i="4" s="1"/>
  <c r="DM24" i="4" s="1"/>
  <c r="DO13" i="4"/>
  <c r="DP32" i="4"/>
  <c r="DM32" i="4" s="1"/>
  <c r="AT14" i="4"/>
  <c r="DE14" i="4"/>
  <c r="DO14" i="4" s="1"/>
  <c r="DP14" i="4"/>
  <c r="AT8" i="4"/>
  <c r="AT6" i="4"/>
  <c r="AT15" i="4"/>
  <c r="DF15" i="4"/>
  <c r="DP15" i="4" s="1"/>
  <c r="DD58" i="4"/>
  <c r="DO49" i="4"/>
  <c r="DE38" i="4"/>
  <c r="DO38" i="4" s="1"/>
  <c r="DE35" i="4"/>
  <c r="DO35" i="4" s="1"/>
  <c r="DH4" i="4"/>
  <c r="DE29" i="4"/>
  <c r="DO29" i="4" s="1"/>
  <c r="DP23" i="4"/>
  <c r="DO21" i="4"/>
  <c r="DE8" i="4"/>
  <c r="DO8" i="4" s="1"/>
  <c r="DM8" i="4" s="1"/>
  <c r="DO56" i="4"/>
  <c r="DO40" i="4"/>
  <c r="DP38" i="4"/>
  <c r="DF30" i="4"/>
  <c r="DP30" i="4" s="1"/>
  <c r="DP27" i="4"/>
  <c r="DM27" i="4" s="1"/>
  <c r="DP25" i="4"/>
  <c r="DM25" i="4" s="1"/>
  <c r="DO22" i="4"/>
  <c r="DF13" i="4"/>
  <c r="DP13" i="4" s="1"/>
  <c r="DM13" i="4" s="1"/>
  <c r="DE12" i="4"/>
  <c r="DO12" i="4" s="1"/>
  <c r="DE59" i="4"/>
  <c r="DO59" i="4" s="1"/>
  <c r="DG37" i="4"/>
  <c r="AT37" i="4"/>
  <c r="DC4" i="4"/>
  <c r="DG26" i="4"/>
  <c r="DP26" i="4" s="1"/>
  <c r="AT26" i="4"/>
  <c r="DP12" i="4"/>
  <c r="DE11" i="4"/>
  <c r="DO11" i="4" s="1"/>
  <c r="DO10" i="4"/>
  <c r="DM10" i="4" s="1"/>
  <c r="DE54" i="4"/>
  <c r="DO54" i="4" s="1"/>
  <c r="DE46" i="4"/>
  <c r="DO46" i="4" s="1"/>
  <c r="AT17" i="4"/>
  <c r="AT19" i="4"/>
  <c r="DE6" i="4"/>
  <c r="DO6" i="4" s="1"/>
  <c r="DM9" i="4" l="1"/>
  <c r="DM34" i="4"/>
  <c r="DM36" i="4"/>
  <c r="DM18" i="4"/>
  <c r="DM19" i="4"/>
  <c r="DM12" i="4"/>
  <c r="DM26" i="4"/>
  <c r="DE4" i="4"/>
  <c r="DM22" i="4"/>
  <c r="DM15" i="4"/>
  <c r="DO31" i="4"/>
  <c r="DM31" i="4" s="1"/>
  <c r="DP11" i="4"/>
  <c r="DM11" i="4" s="1"/>
  <c r="DM7" i="4"/>
  <c r="DM21" i="4"/>
  <c r="DP37" i="4"/>
  <c r="DM37" i="4" s="1"/>
  <c r="DM35" i="4"/>
  <c r="DM16" i="4"/>
  <c r="DP28" i="4"/>
  <c r="DM28" i="4" s="1"/>
  <c r="DM33" i="4"/>
  <c r="DD4" i="4"/>
  <c r="DM14" i="4"/>
  <c r="DM39" i="4"/>
  <c r="DM20" i="4"/>
  <c r="DM40" i="4"/>
  <c r="DM29" i="4"/>
  <c r="DM6" i="4"/>
  <c r="DM30" i="4"/>
  <c r="DM17" i="4"/>
  <c r="DM38" i="4"/>
  <c r="DM23" i="4"/>
  <c r="DK109" i="4" l="1"/>
  <c r="DK115" i="4"/>
  <c r="DG106" i="4"/>
  <c r="DK114" i="4"/>
  <c r="DK112" i="4"/>
  <c r="DK111" i="4"/>
  <c r="DK108" i="4"/>
  <c r="DK110" i="4"/>
  <c r="DG111" i="4"/>
  <c r="DG116" i="4"/>
  <c r="DK116" i="4"/>
  <c r="DK113" i="4"/>
  <c r="DK106" i="4"/>
  <c r="DG113" i="4"/>
  <c r="DG115" i="4"/>
  <c r="DG110" i="4"/>
  <c r="DG107" i="4"/>
  <c r="DK107" i="4"/>
  <c r="DG109" i="4"/>
  <c r="DG108" i="4"/>
  <c r="DG112" i="4"/>
  <c r="DG114" i="4"/>
  <c r="DF115" i="4" l="1"/>
  <c r="DP115" i="4" s="1"/>
  <c r="DM115" i="4" s="1"/>
  <c r="AT115" i="4"/>
  <c r="DF113" i="4"/>
  <c r="DP113" i="4" s="1"/>
  <c r="DM113" i="4" s="1"/>
  <c r="AT113" i="4"/>
  <c r="DF116" i="4"/>
  <c r="DP116" i="4" s="1"/>
  <c r="DM116" i="4" s="1"/>
  <c r="AT116" i="4"/>
  <c r="AT114" i="4"/>
  <c r="DF114" i="4"/>
  <c r="DP114" i="4" s="1"/>
  <c r="DM114" i="4" s="1"/>
  <c r="DF107" i="4"/>
  <c r="DP107" i="4" s="1"/>
  <c r="DM107" i="4" s="1"/>
  <c r="AT107" i="4"/>
  <c r="DF111" i="4"/>
  <c r="DP111" i="4" s="1"/>
  <c r="DM111" i="4" s="1"/>
  <c r="AT111" i="4"/>
  <c r="DF108" i="4"/>
  <c r="DP108" i="4" s="1"/>
  <c r="DM108" i="4" s="1"/>
  <c r="AT108" i="4"/>
  <c r="DF112" i="4"/>
  <c r="DP112" i="4" s="1"/>
  <c r="DM112" i="4" s="1"/>
  <c r="AT112" i="4"/>
  <c r="DF106" i="4"/>
  <c r="DP106" i="4" s="1"/>
  <c r="DM106" i="4" s="1"/>
  <c r="AT106" i="4"/>
  <c r="AT109" i="4"/>
  <c r="DF109" i="4"/>
  <c r="DP109" i="4" s="1"/>
  <c r="DM109" i="4" s="1"/>
  <c r="DF110" i="4"/>
  <c r="DP110" i="4" s="1"/>
  <c r="DM110" i="4" s="1"/>
  <c r="AT110" i="4"/>
  <c r="DK96" i="4" l="1"/>
  <c r="DG101" i="4"/>
  <c r="DK104" i="4"/>
  <c r="DK97" i="4"/>
  <c r="DG96" i="4" l="1"/>
  <c r="DK103" i="4"/>
  <c r="DK99" i="4"/>
  <c r="DK105" i="4"/>
  <c r="DG102" i="4"/>
  <c r="DK101" i="4"/>
  <c r="DG97" i="4"/>
  <c r="DG103" i="4"/>
  <c r="DG98" i="4"/>
  <c r="DK102" i="4"/>
  <c r="DG99" i="4"/>
  <c r="DG105" i="4"/>
  <c r="DG95" i="4"/>
  <c r="DK98" i="4"/>
  <c r="DK100" i="4"/>
  <c r="DK95" i="4"/>
  <c r="DG104" i="4"/>
  <c r="DG100" i="4"/>
  <c r="DG94" i="4"/>
  <c r="DK94" i="4"/>
  <c r="DF97" i="4" l="1"/>
  <c r="DP97" i="4" s="1"/>
  <c r="DM97" i="4" s="1"/>
  <c r="AT97" i="4"/>
  <c r="DF98" i="4"/>
  <c r="DP98" i="4" s="1"/>
  <c r="DM98" i="4" s="1"/>
  <c r="AT98" i="4"/>
  <c r="DF96" i="4"/>
  <c r="DP96" i="4" s="1"/>
  <c r="DM96" i="4" s="1"/>
  <c r="AT96" i="4"/>
  <c r="AT103" i="4"/>
  <c r="DF103" i="4"/>
  <c r="DP103" i="4" s="1"/>
  <c r="DM103" i="4" s="1"/>
  <c r="DF104" i="4"/>
  <c r="DP104" i="4" s="1"/>
  <c r="DM104" i="4" s="1"/>
  <c r="AT104" i="4"/>
  <c r="DF101" i="4"/>
  <c r="DP101" i="4" s="1"/>
  <c r="DM101" i="4" s="1"/>
  <c r="AT101" i="4"/>
  <c r="DF105" i="4"/>
  <c r="DP105" i="4" s="1"/>
  <c r="DM105" i="4" s="1"/>
  <c r="AT105" i="4"/>
  <c r="DF99" i="4"/>
  <c r="DP99" i="4" s="1"/>
  <c r="DM99" i="4" s="1"/>
  <c r="AT99" i="4"/>
  <c r="AT95" i="4"/>
  <c r="DF95" i="4"/>
  <c r="DP95" i="4" s="1"/>
  <c r="DM95" i="4" s="1"/>
  <c r="DF100" i="4"/>
  <c r="DP100" i="4" s="1"/>
  <c r="DM100" i="4" s="1"/>
  <c r="AT100" i="4"/>
  <c r="DF102" i="4"/>
  <c r="DP102" i="4" s="1"/>
  <c r="DM102" i="4" s="1"/>
  <c r="AT102" i="4"/>
  <c r="DF94" i="4"/>
  <c r="DP94" i="4" s="1"/>
  <c r="DM94" i="4" s="1"/>
  <c r="AT94" i="4"/>
  <c r="DK49" i="4" l="1"/>
  <c r="DG51" i="4"/>
  <c r="DK45" i="4"/>
  <c r="DK52" i="4"/>
  <c r="DK63" i="4"/>
  <c r="DG50" i="4"/>
  <c r="DK59" i="4"/>
  <c r="DK61" i="4"/>
  <c r="DG58" i="4" l="1"/>
  <c r="DG46" i="4"/>
  <c r="DG60" i="4"/>
  <c r="DK48" i="4"/>
  <c r="DG62" i="4"/>
  <c r="DG44" i="4"/>
  <c r="DK51" i="4"/>
  <c r="DG43" i="4"/>
  <c r="DG57" i="4"/>
  <c r="DK50" i="4"/>
  <c r="DG61" i="4"/>
  <c r="DK56" i="4"/>
  <c r="DG64" i="4"/>
  <c r="DK62" i="4"/>
  <c r="DG63" i="4"/>
  <c r="DG45" i="4"/>
  <c r="DK44" i="4"/>
  <c r="DG49" i="4"/>
  <c r="DK60" i="4"/>
  <c r="DK46" i="4"/>
  <c r="DK55" i="4"/>
  <c r="DK43" i="4"/>
  <c r="DG52" i="4"/>
  <c r="DG47" i="4"/>
  <c r="DG59" i="4"/>
  <c r="DG48" i="4"/>
  <c r="DG55" i="4"/>
  <c r="DK57" i="4"/>
  <c r="DK58" i="4"/>
  <c r="DF62" i="4"/>
  <c r="DF64" i="4"/>
  <c r="DF57" i="4"/>
  <c r="DF59" i="4"/>
  <c r="DF92" i="4"/>
  <c r="DF48" i="4"/>
  <c r="DP57" i="4" l="1"/>
  <c r="DM57" i="4" s="1"/>
  <c r="DP48" i="4"/>
  <c r="DM48" i="4" s="1"/>
  <c r="AT48" i="4"/>
  <c r="DG56" i="4"/>
  <c r="DK47" i="4"/>
  <c r="DF46" i="4"/>
  <c r="DP46" i="4" s="1"/>
  <c r="DM46" i="4" s="1"/>
  <c r="AT46" i="4"/>
  <c r="DF58" i="4"/>
  <c r="DP58" i="4" s="1"/>
  <c r="DM58" i="4" s="1"/>
  <c r="AT58" i="4"/>
  <c r="DF45" i="4"/>
  <c r="DP45" i="4" s="1"/>
  <c r="DM45" i="4" s="1"/>
  <c r="AT45" i="4"/>
  <c r="AT62" i="4"/>
  <c r="DF60" i="4"/>
  <c r="DP60" i="4" s="1"/>
  <c r="DM60" i="4" s="1"/>
  <c r="AT60" i="4"/>
  <c r="DF56" i="4"/>
  <c r="DF49" i="4"/>
  <c r="DP49" i="4" s="1"/>
  <c r="DM49" i="4" s="1"/>
  <c r="AT49" i="4"/>
  <c r="AT50" i="4"/>
  <c r="DF50" i="4"/>
  <c r="DP50" i="4" s="1"/>
  <c r="DM50" i="4" s="1"/>
  <c r="DP62" i="4"/>
  <c r="DM62" i="4" s="1"/>
  <c r="AT59" i="4"/>
  <c r="DF51" i="4"/>
  <c r="DP51" i="4" s="1"/>
  <c r="DM51" i="4" s="1"/>
  <c r="AT51" i="4"/>
  <c r="DF63" i="4"/>
  <c r="DP63" i="4" s="1"/>
  <c r="DM63" i="4" s="1"/>
  <c r="AT63" i="4"/>
  <c r="DP59" i="4"/>
  <c r="DM59" i="4" s="1"/>
  <c r="DF43" i="4"/>
  <c r="DP43" i="4" s="1"/>
  <c r="DM43" i="4" s="1"/>
  <c r="AT43" i="4"/>
  <c r="DF47" i="4"/>
  <c r="AT47" i="4"/>
  <c r="AT57" i="4"/>
  <c r="DF52" i="4"/>
  <c r="DP52" i="4" s="1"/>
  <c r="DM52" i="4" s="1"/>
  <c r="AT52" i="4"/>
  <c r="DF55" i="4"/>
  <c r="DP55" i="4" s="1"/>
  <c r="DM55" i="4" s="1"/>
  <c r="AT55" i="4"/>
  <c r="DF44" i="4"/>
  <c r="DP44" i="4" s="1"/>
  <c r="DM44" i="4" s="1"/>
  <c r="AT44" i="4"/>
  <c r="DP47" i="4" l="1"/>
  <c r="DM47" i="4" s="1"/>
  <c r="DP56" i="4"/>
  <c r="DM56" i="4" s="1"/>
  <c r="AT56" i="4"/>
  <c r="DF61" i="4"/>
  <c r="DP61" i="4" s="1"/>
  <c r="DM61" i="4" s="1"/>
  <c r="AT61" i="4"/>
  <c r="DK64" i="4"/>
  <c r="DP64" i="4" s="1"/>
  <c r="DM64" i="4" s="1"/>
  <c r="AT64" i="4"/>
  <c r="DK82" i="4" l="1"/>
  <c r="DG82" i="4"/>
  <c r="DG83" i="4" l="1"/>
  <c r="DK83" i="4"/>
  <c r="DF82" i="4"/>
  <c r="DP82" i="4" s="1"/>
  <c r="DM82" i="4" s="1"/>
  <c r="AT82" i="4"/>
  <c r="DG84" i="4" l="1"/>
  <c r="DK84" i="4"/>
  <c r="DF83" i="4"/>
  <c r="DP83" i="4" s="1"/>
  <c r="DM83" i="4" s="1"/>
  <c r="AT83" i="4"/>
  <c r="DK85" i="4" l="1"/>
  <c r="DG85" i="4"/>
  <c r="AT84" i="4"/>
  <c r="DF84" i="4"/>
  <c r="DP84" i="4" s="1"/>
  <c r="DM84" i="4" s="1"/>
  <c r="DK86" i="4" l="1"/>
  <c r="DG86" i="4"/>
  <c r="DF85" i="4"/>
  <c r="DP85" i="4" s="1"/>
  <c r="DM85" i="4" s="1"/>
  <c r="AT85" i="4"/>
  <c r="DG87" i="4" l="1"/>
  <c r="DK87" i="4"/>
  <c r="DF86" i="4"/>
  <c r="DP86" i="4" s="1"/>
  <c r="DM86" i="4" s="1"/>
  <c r="AT86" i="4"/>
  <c r="DK88" i="4" l="1"/>
  <c r="DG88" i="4"/>
  <c r="DF87" i="4"/>
  <c r="DP87" i="4" s="1"/>
  <c r="DM87" i="4" s="1"/>
  <c r="AT87" i="4"/>
  <c r="DK89" i="4" l="1"/>
  <c r="DG76" i="4"/>
  <c r="DG89" i="4"/>
  <c r="DF88" i="4"/>
  <c r="DP88" i="4" s="1"/>
  <c r="DM88" i="4" s="1"/>
  <c r="AT88" i="4"/>
  <c r="DK90" i="4" l="1"/>
  <c r="DG90" i="4"/>
  <c r="DG75" i="4"/>
  <c r="AT89" i="4"/>
  <c r="DF89" i="4"/>
  <c r="DP89" i="4" s="1"/>
  <c r="DM89" i="4" s="1"/>
  <c r="DG81" i="4" l="1"/>
  <c r="DG91" i="4"/>
  <c r="DK91" i="4"/>
  <c r="DF90" i="4"/>
  <c r="DP90" i="4" s="1"/>
  <c r="DM90" i="4" s="1"/>
  <c r="AT90" i="4"/>
  <c r="DG92" i="4" l="1"/>
  <c r="AT91" i="4"/>
  <c r="DF91" i="4"/>
  <c r="DP91" i="4" s="1"/>
  <c r="DM91" i="4" s="1"/>
  <c r="DK93" i="4" l="1"/>
  <c r="DG93" i="4"/>
  <c r="DK92" i="4"/>
  <c r="DP92" i="4" s="1"/>
  <c r="DM92" i="4" s="1"/>
  <c r="AT92" i="4"/>
  <c r="DF93" i="4" l="1"/>
  <c r="DP93" i="4" s="1"/>
  <c r="DM93" i="4" s="1"/>
  <c r="AT93" i="4"/>
  <c r="DG74" i="4" l="1"/>
  <c r="DG70" i="4" l="1"/>
  <c r="DG79" i="4" l="1"/>
  <c r="DG80" i="4" l="1"/>
  <c r="DG77" i="4" l="1"/>
  <c r="DG73" i="4" l="1"/>
  <c r="DG72" i="4" l="1"/>
  <c r="DG71" i="4" l="1"/>
  <c r="DG78" i="4" l="1"/>
  <c r="DG69" i="4" l="1"/>
  <c r="DG67" i="4" l="1"/>
  <c r="DG68" i="4" l="1"/>
  <c r="DG53" i="4" l="1"/>
  <c r="DG42" i="4" l="1"/>
  <c r="DK76" i="4" l="1"/>
  <c r="DK74" i="4" l="1"/>
  <c r="DF76" i="4"/>
  <c r="DP76" i="4" s="1"/>
  <c r="DM76" i="4" s="1"/>
  <c r="AT76" i="4"/>
  <c r="DF74" i="4" l="1"/>
  <c r="DP74" i="4" s="1"/>
  <c r="DM74" i="4" s="1"/>
  <c r="AT74" i="4"/>
  <c r="DK81" i="4" l="1"/>
  <c r="DF81" i="4"/>
  <c r="AT81" i="4" l="1"/>
  <c r="DP81" i="4"/>
  <c r="DM81" i="4" s="1"/>
  <c r="DK72" i="4"/>
  <c r="DK75" i="4" l="1"/>
  <c r="DF72" i="4"/>
  <c r="DP72" i="4" s="1"/>
  <c r="DM72" i="4" s="1"/>
  <c r="AT72" i="4"/>
  <c r="DK80" i="4" l="1"/>
  <c r="DF75" i="4"/>
  <c r="DP75" i="4" s="1"/>
  <c r="DM75" i="4" s="1"/>
  <c r="AT75" i="4"/>
  <c r="DK71" i="4" l="1"/>
  <c r="DF80" i="4"/>
  <c r="DP80" i="4" s="1"/>
  <c r="DM80" i="4" s="1"/>
  <c r="AT80" i="4"/>
  <c r="DK73" i="4" l="1"/>
  <c r="DK79" i="4" l="1"/>
  <c r="DF71" i="4"/>
  <c r="DP71" i="4" s="1"/>
  <c r="DM71" i="4" s="1"/>
  <c r="AT71" i="4"/>
  <c r="DF73" i="4" l="1"/>
  <c r="DP73" i="4" s="1"/>
  <c r="DM73" i="4" s="1"/>
  <c r="AT73" i="4"/>
  <c r="DF79" i="4" l="1"/>
  <c r="DP79" i="4" s="1"/>
  <c r="DM79" i="4" s="1"/>
  <c r="AT79" i="4"/>
  <c r="DK78" i="4" l="1"/>
  <c r="DG54" i="4" l="1"/>
  <c r="DK77" i="4" l="1"/>
  <c r="DF78" i="4"/>
  <c r="DP78" i="4" s="1"/>
  <c r="DM78" i="4" s="1"/>
  <c r="AT78" i="4"/>
  <c r="DF77" i="4" l="1"/>
  <c r="DP77" i="4" s="1"/>
  <c r="DM77" i="4" s="1"/>
  <c r="AT77" i="4"/>
  <c r="DG65" i="4" l="1"/>
  <c r="DG66" i="4" l="1"/>
  <c r="DG41" i="4" l="1"/>
  <c r="DG4" i="4" s="1"/>
  <c r="DK42" i="4" l="1"/>
  <c r="DF54" i="4" l="1"/>
  <c r="DF42" i="4" l="1"/>
  <c r="DP42" i="4" s="1"/>
  <c r="DM42" i="4" s="1"/>
  <c r="AT42" i="4"/>
  <c r="DK41" i="4" l="1"/>
  <c r="DK54" i="4"/>
  <c r="DP54" i="4" s="1"/>
  <c r="DM54" i="4" s="1"/>
  <c r="AT54" i="4"/>
  <c r="DK69" i="4" l="1"/>
  <c r="AT41" i="4"/>
  <c r="DF41" i="4"/>
  <c r="DK53" i="4" l="1"/>
  <c r="DP41" i="4"/>
  <c r="DM41" i="4" s="1"/>
  <c r="DK68" i="4" l="1"/>
  <c r="DF53" i="4"/>
  <c r="AT53" i="4"/>
  <c r="DP53" i="4" l="1"/>
  <c r="DM53" i="4" s="1"/>
  <c r="DK67" i="4" l="1"/>
  <c r="DF69" i="4"/>
  <c r="DP69" i="4" s="1"/>
  <c r="DM69" i="4" s="1"/>
  <c r="AT69" i="4"/>
  <c r="DF68" i="4" l="1"/>
  <c r="DP68" i="4" s="1"/>
  <c r="DM68" i="4" s="1"/>
  <c r="AT68" i="4"/>
  <c r="DK66" i="4" l="1"/>
  <c r="DF67" i="4"/>
  <c r="DP67" i="4" s="1"/>
  <c r="DM67" i="4" s="1"/>
  <c r="AT67" i="4"/>
  <c r="DK70" i="4" l="1"/>
  <c r="DF66" i="4"/>
  <c r="DP66" i="4" s="1"/>
  <c r="DM66" i="4" s="1"/>
  <c r="AT66" i="4"/>
  <c r="DK65" i="4" l="1"/>
  <c r="DK4" i="4" s="1"/>
  <c r="DF70" i="4"/>
  <c r="DP70" i="4" s="1"/>
  <c r="DM70" i="4" s="1"/>
  <c r="AT70" i="4"/>
  <c r="DF65" i="4" l="1"/>
  <c r="AT65" i="4"/>
  <c r="DP65" i="4" l="1"/>
  <c r="DM65" i="4" s="1"/>
  <c r="DF4" i="4"/>
  <c r="DM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V2" authorId="0" shapeId="0" xr:uid="{09D60400-732D-4907-B2CE-6E88121549B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低水素系
</t>
        </r>
      </text>
    </comment>
    <comment ref="BX2" authorId="0" shapeId="0" xr:uid="{0692DDBF-35E0-491E-8C94-01B5820695FF}">
      <text>
        <r>
          <rPr>
            <b/>
            <sz val="9"/>
            <color indexed="81"/>
            <rFont val="MS P ゴシック"/>
            <family val="3"/>
            <charset val="128"/>
          </rPr>
          <t>低水素系</t>
        </r>
      </text>
    </comment>
    <comment ref="BZ2" authorId="0" shapeId="0" xr:uid="{66AE8DEA-F985-4892-AA03-65E52EDBEE9A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低水素系
</t>
        </r>
      </text>
    </comment>
    <comment ref="CH2" authorId="0" shapeId="0" xr:uid="{B60DBD45-D8AB-42E4-8676-121FA3A5ED14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低水素系
</t>
        </r>
      </text>
    </comment>
    <comment ref="CJ2" authorId="0" shapeId="0" xr:uid="{46C13C86-6E09-4A77-AA39-18918E3D0BC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低水素系
</t>
        </r>
      </text>
    </comment>
    <comment ref="AS85" authorId="0" shapeId="0" xr:uid="{405E26A7-78CF-4D7B-9D31-49495A8390D8}">
      <text>
        <r>
          <rPr>
            <b/>
            <sz val="9"/>
            <color indexed="81"/>
            <rFont val="MS P ゴシック"/>
            <family val="3"/>
            <charset val="128"/>
          </rPr>
          <t>1500kg
配管工事で使用した分を引く</t>
        </r>
      </text>
    </comment>
  </commentList>
</comments>
</file>

<file path=xl/sharedStrings.xml><?xml version="1.0" encoding="utf-8"?>
<sst xmlns="http://schemas.openxmlformats.org/spreadsheetml/2006/main" count="529" uniqueCount="285">
  <si>
    <t>大西1号</t>
    <rPh sb="0" eb="2">
      <t>オオニシ</t>
    </rPh>
    <rPh sb="3" eb="4">
      <t>ゴウ</t>
    </rPh>
    <phoneticPr fontId="1"/>
  </si>
  <si>
    <t>S No</t>
    <phoneticPr fontId="1"/>
  </si>
  <si>
    <t>船種</t>
    <rPh sb="0" eb="2">
      <t>センシュ</t>
    </rPh>
    <phoneticPr fontId="1"/>
  </si>
  <si>
    <t>搭載開始日</t>
    <rPh sb="0" eb="5">
      <t>トウサイカイシビ</t>
    </rPh>
    <phoneticPr fontId="1"/>
  </si>
  <si>
    <t>進水日</t>
    <rPh sb="0" eb="3">
      <t>シンスイビ</t>
    </rPh>
    <phoneticPr fontId="1"/>
  </si>
  <si>
    <t>引渡日</t>
    <rPh sb="0" eb="1">
      <t>ヒ</t>
    </rPh>
    <rPh sb="1" eb="2">
      <t>ワタ</t>
    </rPh>
    <rPh sb="2" eb="3">
      <t>ビ</t>
    </rPh>
    <phoneticPr fontId="1"/>
  </si>
  <si>
    <t>s5950</t>
    <phoneticPr fontId="1"/>
  </si>
  <si>
    <t>150台RORO</t>
    <rPh sb="3" eb="4">
      <t>ダイ</t>
    </rPh>
    <phoneticPr fontId="1"/>
  </si>
  <si>
    <t>s5955</t>
    <phoneticPr fontId="1"/>
  </si>
  <si>
    <t>8300RORO</t>
    <phoneticPr fontId="1"/>
  </si>
  <si>
    <t>s5901</t>
    <phoneticPr fontId="1"/>
  </si>
  <si>
    <t>34ケミカル</t>
    <phoneticPr fontId="1"/>
  </si>
  <si>
    <t>s5916</t>
    <phoneticPr fontId="1"/>
  </si>
  <si>
    <t>35ケミカル</t>
    <phoneticPr fontId="1"/>
  </si>
  <si>
    <t>s5918</t>
    <phoneticPr fontId="1"/>
  </si>
  <si>
    <t>7500PCC</t>
    <phoneticPr fontId="1"/>
  </si>
  <si>
    <t>s5951</t>
    <phoneticPr fontId="1"/>
  </si>
  <si>
    <t>7400PCC</t>
    <phoneticPr fontId="1"/>
  </si>
  <si>
    <t>s5952</t>
    <phoneticPr fontId="1"/>
  </si>
  <si>
    <t>s5941</t>
    <phoneticPr fontId="1"/>
  </si>
  <si>
    <t>21石灰石</t>
    <rPh sb="2" eb="5">
      <t>セッカイセキ</t>
    </rPh>
    <phoneticPr fontId="1"/>
  </si>
  <si>
    <t>s5938</t>
    <phoneticPr fontId="1"/>
  </si>
  <si>
    <t>s5980</t>
    <phoneticPr fontId="1"/>
  </si>
  <si>
    <t>61BC</t>
    <phoneticPr fontId="1"/>
  </si>
  <si>
    <t>大西2号</t>
    <rPh sb="0" eb="2">
      <t>オオニシ</t>
    </rPh>
    <rPh sb="3" eb="4">
      <t>ゴウ</t>
    </rPh>
    <phoneticPr fontId="1"/>
  </si>
  <si>
    <t>大西3号</t>
    <rPh sb="0" eb="2">
      <t>オオニシ</t>
    </rPh>
    <rPh sb="3" eb="4">
      <t>ゴウ</t>
    </rPh>
    <phoneticPr fontId="1"/>
  </si>
  <si>
    <t>s5942</t>
    <phoneticPr fontId="1"/>
  </si>
  <si>
    <t>s5940</t>
    <phoneticPr fontId="1"/>
  </si>
  <si>
    <t>s5956</t>
    <phoneticPr fontId="1"/>
  </si>
  <si>
    <t>s5976</t>
    <phoneticPr fontId="1"/>
  </si>
  <si>
    <t>s5995</t>
    <phoneticPr fontId="1"/>
  </si>
  <si>
    <t>s5943</t>
    <phoneticPr fontId="1"/>
  </si>
  <si>
    <t>s5975</t>
    <phoneticPr fontId="1"/>
  </si>
  <si>
    <t>s5996</t>
    <phoneticPr fontId="1"/>
  </si>
  <si>
    <t>s6017</t>
    <phoneticPr fontId="1"/>
  </si>
  <si>
    <t>23セメント</t>
    <phoneticPr fontId="1"/>
  </si>
  <si>
    <t>s6030</t>
    <phoneticPr fontId="1"/>
  </si>
  <si>
    <t>26ケミカル（28TK）</t>
    <phoneticPr fontId="1"/>
  </si>
  <si>
    <t>35ケミカル（18TK）</t>
    <phoneticPr fontId="1"/>
  </si>
  <si>
    <t>s6031</t>
    <phoneticPr fontId="1"/>
  </si>
  <si>
    <t>s6018</t>
    <phoneticPr fontId="1"/>
  </si>
  <si>
    <t>34ケミカル（28TK）</t>
    <phoneticPr fontId="1"/>
  </si>
  <si>
    <t>s5977</t>
    <phoneticPr fontId="1"/>
  </si>
  <si>
    <t>s5978</t>
  </si>
  <si>
    <t>s5993</t>
    <phoneticPr fontId="1"/>
  </si>
  <si>
    <t>s5997</t>
    <phoneticPr fontId="1"/>
  </si>
  <si>
    <t>s6037</t>
    <phoneticPr fontId="1"/>
  </si>
  <si>
    <t>19BC</t>
    <phoneticPr fontId="1"/>
  </si>
  <si>
    <t>s6055</t>
    <phoneticPr fontId="1"/>
  </si>
  <si>
    <t>22ケミカル（20TK）</t>
    <phoneticPr fontId="1"/>
  </si>
  <si>
    <t>s6020</t>
    <phoneticPr fontId="1"/>
  </si>
  <si>
    <t>s6062</t>
    <phoneticPr fontId="1"/>
  </si>
  <si>
    <t>s6063</t>
    <phoneticPr fontId="1"/>
  </si>
  <si>
    <t>s6022</t>
    <phoneticPr fontId="1"/>
  </si>
  <si>
    <t>25ケミカル（26TK）</t>
    <phoneticPr fontId="1"/>
  </si>
  <si>
    <t>s6021</t>
    <phoneticPr fontId="1"/>
  </si>
  <si>
    <t>s6036</t>
    <phoneticPr fontId="1"/>
  </si>
  <si>
    <t>s6053</t>
    <phoneticPr fontId="1"/>
  </si>
  <si>
    <t>11600RORO</t>
    <phoneticPr fontId="1"/>
  </si>
  <si>
    <t>s6038</t>
    <phoneticPr fontId="1"/>
  </si>
  <si>
    <t>s5998</t>
    <phoneticPr fontId="1"/>
  </si>
  <si>
    <t>s5987</t>
    <phoneticPr fontId="1"/>
  </si>
  <si>
    <t>35ケミカル（28TK）</t>
    <phoneticPr fontId="1"/>
  </si>
  <si>
    <t>s6070</t>
    <phoneticPr fontId="1"/>
  </si>
  <si>
    <t>19BC</t>
    <phoneticPr fontId="1"/>
  </si>
  <si>
    <t>s6071</t>
    <phoneticPr fontId="1"/>
  </si>
  <si>
    <t>s6066</t>
    <phoneticPr fontId="1"/>
  </si>
  <si>
    <t>15石炭</t>
    <rPh sb="2" eb="4">
      <t>セキタン</t>
    </rPh>
    <phoneticPr fontId="1"/>
  </si>
  <si>
    <t>s5988</t>
    <phoneticPr fontId="1"/>
  </si>
  <si>
    <t>s6102</t>
    <phoneticPr fontId="1"/>
  </si>
  <si>
    <t>11セメント</t>
    <phoneticPr fontId="1"/>
  </si>
  <si>
    <t>s6108</t>
    <phoneticPr fontId="1"/>
  </si>
  <si>
    <t>s6081</t>
    <phoneticPr fontId="1"/>
  </si>
  <si>
    <t>64BC</t>
    <phoneticPr fontId="1"/>
  </si>
  <si>
    <t>s6082</t>
    <phoneticPr fontId="1"/>
  </si>
  <si>
    <t>s6085</t>
    <phoneticPr fontId="1"/>
  </si>
  <si>
    <t>s6086</t>
    <phoneticPr fontId="1"/>
  </si>
  <si>
    <t>s6122</t>
    <phoneticPr fontId="1"/>
  </si>
  <si>
    <t>s6128</t>
    <phoneticPr fontId="1"/>
  </si>
  <si>
    <t>26ケミカル（23TK）</t>
    <phoneticPr fontId="1"/>
  </si>
  <si>
    <t>s6123</t>
    <phoneticPr fontId="1"/>
  </si>
  <si>
    <t>s6111</t>
    <phoneticPr fontId="1"/>
  </si>
  <si>
    <t>s6112</t>
  </si>
  <si>
    <t>s6113</t>
  </si>
  <si>
    <t>s6146</t>
    <phoneticPr fontId="1"/>
  </si>
  <si>
    <t>s6135</t>
    <phoneticPr fontId="1"/>
  </si>
  <si>
    <t>s6132</t>
    <phoneticPr fontId="1"/>
  </si>
  <si>
    <t>s6131</t>
    <phoneticPr fontId="1"/>
  </si>
  <si>
    <t>s6148</t>
    <phoneticPr fontId="1"/>
  </si>
  <si>
    <t>s6156</t>
    <phoneticPr fontId="1"/>
  </si>
  <si>
    <t>s6140</t>
    <phoneticPr fontId="1"/>
  </si>
  <si>
    <t>s6157</t>
    <phoneticPr fontId="1"/>
  </si>
  <si>
    <t>11750RORO</t>
    <phoneticPr fontId="1"/>
  </si>
  <si>
    <t>s6172</t>
    <phoneticPr fontId="1"/>
  </si>
  <si>
    <t>s6173</t>
    <phoneticPr fontId="1"/>
  </si>
  <si>
    <t>s6175</t>
    <phoneticPr fontId="1"/>
  </si>
  <si>
    <t>13カーゴ</t>
    <phoneticPr fontId="1"/>
  </si>
  <si>
    <t>s6190</t>
    <phoneticPr fontId="1"/>
  </si>
  <si>
    <t>s6186</t>
    <phoneticPr fontId="1"/>
  </si>
  <si>
    <t>s6182</t>
    <phoneticPr fontId="1"/>
  </si>
  <si>
    <t>s6201</t>
    <phoneticPr fontId="1"/>
  </si>
  <si>
    <t>7050PCC</t>
    <phoneticPr fontId="1"/>
  </si>
  <si>
    <t>s6193</t>
    <phoneticPr fontId="1"/>
  </si>
  <si>
    <t>s6202</t>
    <phoneticPr fontId="1"/>
  </si>
  <si>
    <t>s6206</t>
    <phoneticPr fontId="1"/>
  </si>
  <si>
    <t>21石灰石</t>
    <rPh sb="2" eb="5">
      <t>セッカイセキ</t>
    </rPh>
    <phoneticPr fontId="1"/>
  </si>
  <si>
    <t>s6208</t>
    <phoneticPr fontId="1"/>
  </si>
  <si>
    <t>s6233</t>
    <phoneticPr fontId="1"/>
  </si>
  <si>
    <t>s6243</t>
    <phoneticPr fontId="1"/>
  </si>
  <si>
    <t>s6227</t>
    <phoneticPr fontId="1"/>
  </si>
  <si>
    <t>23セメント</t>
    <phoneticPr fontId="1"/>
  </si>
  <si>
    <t>s6245</t>
    <phoneticPr fontId="1"/>
  </si>
  <si>
    <t>s6258</t>
    <phoneticPr fontId="1"/>
  </si>
  <si>
    <t>s6268</t>
    <phoneticPr fontId="1"/>
  </si>
  <si>
    <t>s6250</t>
    <phoneticPr fontId="1"/>
  </si>
  <si>
    <t>s6251</t>
    <phoneticPr fontId="1"/>
  </si>
  <si>
    <t>s6252</t>
    <phoneticPr fontId="1"/>
  </si>
  <si>
    <t>s6267</t>
    <phoneticPr fontId="1"/>
  </si>
  <si>
    <t>10000RORO</t>
    <phoneticPr fontId="1"/>
  </si>
  <si>
    <t>s6291</t>
    <phoneticPr fontId="1"/>
  </si>
  <si>
    <t>s6278</t>
    <phoneticPr fontId="1"/>
  </si>
  <si>
    <t>26ケミカル（24TK）</t>
    <phoneticPr fontId="1"/>
  </si>
  <si>
    <t>s6275</t>
    <phoneticPr fontId="1"/>
  </si>
  <si>
    <t>s6290</t>
    <phoneticPr fontId="1"/>
  </si>
  <si>
    <t>s6296</t>
    <phoneticPr fontId="1"/>
  </si>
  <si>
    <t>s6292</t>
    <phoneticPr fontId="1"/>
  </si>
  <si>
    <t>s6300</t>
    <phoneticPr fontId="1"/>
  </si>
  <si>
    <t>s6313</t>
    <phoneticPr fontId="1"/>
  </si>
  <si>
    <t>22セメント</t>
    <phoneticPr fontId="1"/>
  </si>
  <si>
    <t>s6311</t>
    <phoneticPr fontId="1"/>
  </si>
  <si>
    <t>s6308</t>
    <phoneticPr fontId="1"/>
  </si>
  <si>
    <t>s6320</t>
    <phoneticPr fontId="1"/>
  </si>
  <si>
    <t>s6312</t>
    <phoneticPr fontId="1"/>
  </si>
  <si>
    <t>s6326</t>
    <phoneticPr fontId="1"/>
  </si>
  <si>
    <t>s6337</t>
    <phoneticPr fontId="1"/>
  </si>
  <si>
    <t>s6328</t>
    <phoneticPr fontId="1"/>
  </si>
  <si>
    <t>s6351</t>
    <phoneticPr fontId="1"/>
  </si>
  <si>
    <t>s6353</t>
    <phoneticPr fontId="1"/>
  </si>
  <si>
    <t>s6360</t>
    <phoneticPr fontId="1"/>
  </si>
  <si>
    <t>s6410</t>
    <phoneticPr fontId="1"/>
  </si>
  <si>
    <t>s6340</t>
    <phoneticPr fontId="1"/>
  </si>
  <si>
    <t>s6352</t>
    <phoneticPr fontId="1"/>
  </si>
  <si>
    <t>s6358</t>
    <phoneticPr fontId="1"/>
  </si>
  <si>
    <t>41OPBC</t>
    <phoneticPr fontId="1"/>
  </si>
  <si>
    <t>s6370</t>
    <phoneticPr fontId="1"/>
  </si>
  <si>
    <t>s6378</t>
    <phoneticPr fontId="1"/>
  </si>
  <si>
    <t>s6381</t>
    <phoneticPr fontId="1"/>
  </si>
  <si>
    <t>s6393</t>
    <phoneticPr fontId="1"/>
  </si>
  <si>
    <t>s6398</t>
    <phoneticPr fontId="1"/>
  </si>
  <si>
    <t>s6400</t>
    <phoneticPr fontId="1"/>
  </si>
  <si>
    <t>s6366</t>
    <phoneticPr fontId="1"/>
  </si>
  <si>
    <t>s6357</t>
    <phoneticPr fontId="1"/>
  </si>
  <si>
    <t>s6368</t>
    <phoneticPr fontId="1"/>
  </si>
  <si>
    <t>s6380</t>
    <phoneticPr fontId="1"/>
  </si>
  <si>
    <t>ケミカル</t>
    <phoneticPr fontId="1"/>
  </si>
  <si>
    <t>合計</t>
    <rPh sb="0" eb="2">
      <t>ゴウケイ</t>
    </rPh>
    <phoneticPr fontId="2"/>
  </si>
  <si>
    <t>CO2</t>
    <phoneticPr fontId="2"/>
  </si>
  <si>
    <t>裏当材</t>
    <rPh sb="0" eb="1">
      <t>ウラ</t>
    </rPh>
    <rPh sb="1" eb="2">
      <t>ア</t>
    </rPh>
    <rPh sb="2" eb="3">
      <t>ザイ</t>
    </rPh>
    <phoneticPr fontId="2"/>
  </si>
  <si>
    <t>ｻﾌﾞﾏｰｼﾞ</t>
    <phoneticPr fontId="2"/>
  </si>
  <si>
    <t>ﾜｲﾔｰ</t>
    <phoneticPr fontId="2"/>
  </si>
  <si>
    <t>ﾌﾗｯｸｽ</t>
    <phoneticPr fontId="2"/>
  </si>
  <si>
    <t>溶接棒</t>
    <rPh sb="0" eb="2">
      <t>ヨウセツ</t>
    </rPh>
    <rPh sb="2" eb="3">
      <t>ボウ</t>
    </rPh>
    <phoneticPr fontId="2"/>
  </si>
  <si>
    <t>TIG</t>
    <phoneticPr fontId="2"/>
  </si>
  <si>
    <t>DW100</t>
    <phoneticPr fontId="2"/>
  </si>
  <si>
    <t>DW100E</t>
    <phoneticPr fontId="2"/>
  </si>
  <si>
    <t>DW55E</t>
    <phoneticPr fontId="2"/>
  </si>
  <si>
    <t>DW100V</t>
    <phoneticPr fontId="2"/>
  </si>
  <si>
    <t>DW100R</t>
    <phoneticPr fontId="2"/>
  </si>
  <si>
    <t>DW200</t>
    <phoneticPr fontId="2"/>
  </si>
  <si>
    <t>DW309MOL</t>
    <phoneticPr fontId="2"/>
  </si>
  <si>
    <t>DWZ100</t>
    <phoneticPr fontId="2"/>
  </si>
  <si>
    <t>MG50T</t>
    <phoneticPr fontId="2"/>
  </si>
  <si>
    <t>MG50D</t>
    <phoneticPr fontId="2"/>
  </si>
  <si>
    <t>MG51T</t>
    <phoneticPr fontId="2"/>
  </si>
  <si>
    <t>MX100</t>
    <phoneticPr fontId="2"/>
  </si>
  <si>
    <t>MX200</t>
    <phoneticPr fontId="2"/>
  </si>
  <si>
    <t>MX200F</t>
    <phoneticPr fontId="2"/>
  </si>
  <si>
    <t>MX200S</t>
    <phoneticPr fontId="2"/>
  </si>
  <si>
    <t>MX200H</t>
    <phoneticPr fontId="2"/>
  </si>
  <si>
    <t>SEA50</t>
    <phoneticPr fontId="2"/>
  </si>
  <si>
    <t>MXZ200</t>
    <phoneticPr fontId="2"/>
  </si>
  <si>
    <t>SF-1</t>
    <phoneticPr fontId="2"/>
  </si>
  <si>
    <t>DWS43G</t>
    <phoneticPr fontId="2"/>
  </si>
  <si>
    <t>DWS1LG</t>
    <phoneticPr fontId="2"/>
  </si>
  <si>
    <t>SEG</t>
    <phoneticPr fontId="2"/>
  </si>
  <si>
    <t>FBB3H</t>
    <phoneticPr fontId="2"/>
  </si>
  <si>
    <t>FBB3T</t>
    <phoneticPr fontId="2"/>
  </si>
  <si>
    <t>SB41 2W</t>
    <phoneticPr fontId="2"/>
  </si>
  <si>
    <t>SB41 I</t>
    <phoneticPr fontId="2"/>
  </si>
  <si>
    <t>SB41 H</t>
    <phoneticPr fontId="2"/>
  </si>
  <si>
    <t>SB41 250R</t>
    <phoneticPr fontId="2"/>
  </si>
  <si>
    <t>SB41 200R</t>
    <phoneticPr fontId="2"/>
  </si>
  <si>
    <t>KL4GT</t>
    <phoneticPr fontId="2"/>
  </si>
  <si>
    <t>US317L</t>
    <phoneticPr fontId="2"/>
  </si>
  <si>
    <t>US36</t>
    <phoneticPr fontId="2"/>
  </si>
  <si>
    <t>US36P</t>
    <phoneticPr fontId="2"/>
  </si>
  <si>
    <t>MF-1R</t>
    <phoneticPr fontId="2"/>
  </si>
  <si>
    <t>PF-H55E</t>
    <phoneticPr fontId="2"/>
  </si>
  <si>
    <t>PF-I55E</t>
    <phoneticPr fontId="2"/>
  </si>
  <si>
    <t>RF-1</t>
    <phoneticPr fontId="2"/>
  </si>
  <si>
    <t>NO1296</t>
    <phoneticPr fontId="2"/>
  </si>
  <si>
    <t>PF-I50R</t>
    <phoneticPr fontId="2"/>
  </si>
  <si>
    <t>PF-S1N</t>
    <phoneticPr fontId="2"/>
  </si>
  <si>
    <t>B14</t>
    <phoneticPr fontId="2"/>
  </si>
  <si>
    <t>LB26V</t>
    <phoneticPr fontId="2"/>
  </si>
  <si>
    <t>LB52T</t>
    <phoneticPr fontId="2"/>
  </si>
  <si>
    <t>LBM52P</t>
    <phoneticPr fontId="2"/>
  </si>
  <si>
    <t>SM50G</t>
    <phoneticPr fontId="2"/>
  </si>
  <si>
    <t>SS309MOL</t>
    <phoneticPr fontId="2"/>
  </si>
  <si>
    <t>SS316L</t>
    <phoneticPr fontId="2"/>
  </si>
  <si>
    <t>NC39MOL</t>
    <phoneticPr fontId="2"/>
  </si>
  <si>
    <t>SL50R</t>
    <phoneticPr fontId="2"/>
  </si>
  <si>
    <t>SL50T</t>
    <phoneticPr fontId="2"/>
  </si>
  <si>
    <t>Z44</t>
    <phoneticPr fontId="2"/>
  </si>
  <si>
    <t>TGS309MOL</t>
    <phoneticPr fontId="2"/>
  </si>
  <si>
    <t>TGS317L</t>
    <phoneticPr fontId="2"/>
  </si>
  <si>
    <t>TGS316L</t>
    <phoneticPr fontId="2"/>
  </si>
  <si>
    <t>TGS50</t>
    <phoneticPr fontId="2"/>
  </si>
  <si>
    <t>TGX316L</t>
    <phoneticPr fontId="2"/>
  </si>
  <si>
    <t>裏当て1本300グラム</t>
    <phoneticPr fontId="2"/>
  </si>
  <si>
    <t>半自動</t>
    <rPh sb="0" eb="1">
      <t>ハン</t>
    </rPh>
    <rPh sb="1" eb="3">
      <t>ジドウ</t>
    </rPh>
    <phoneticPr fontId="2"/>
  </si>
  <si>
    <t>台車</t>
    <rPh sb="0" eb="2">
      <t>ダイシャ</t>
    </rPh>
    <phoneticPr fontId="2"/>
  </si>
  <si>
    <t>ロボット</t>
    <phoneticPr fontId="2"/>
  </si>
  <si>
    <t>(kg)</t>
    <phoneticPr fontId="2"/>
  </si>
  <si>
    <t>÷</t>
    <phoneticPr fontId="2"/>
  </si>
  <si>
    <t>納入量</t>
    <rPh sb="0" eb="2">
      <t>ノウニュウ</t>
    </rPh>
    <rPh sb="2" eb="3">
      <t>リョウ</t>
    </rPh>
    <phoneticPr fontId="2"/>
  </si>
  <si>
    <t>手棒</t>
    <phoneticPr fontId="2"/>
  </si>
  <si>
    <t>グラビティ</t>
    <phoneticPr fontId="2"/>
  </si>
  <si>
    <t>サブマージ</t>
    <phoneticPr fontId="2"/>
  </si>
  <si>
    <t>CO2半自動</t>
    <phoneticPr fontId="2"/>
  </si>
  <si>
    <t>CO2台車</t>
    <phoneticPr fontId="2"/>
  </si>
  <si>
    <t>CO2ﾛﾎﾞ</t>
    <phoneticPr fontId="2"/>
  </si>
  <si>
    <t>TIG半自動</t>
    <phoneticPr fontId="2"/>
  </si>
  <si>
    <t>TIG自動</t>
    <phoneticPr fontId="2"/>
  </si>
  <si>
    <t>TIGﾛﾎﾞ</t>
    <phoneticPr fontId="2"/>
  </si>
  <si>
    <t>エレガス</t>
    <phoneticPr fontId="2"/>
  </si>
  <si>
    <t>セルフ</t>
    <phoneticPr fontId="2"/>
  </si>
  <si>
    <t>機械化率(ガス除く）</t>
    <phoneticPr fontId="2"/>
  </si>
  <si>
    <t>手</t>
    <rPh sb="0" eb="1">
      <t>テ</t>
    </rPh>
    <phoneticPr fontId="2"/>
  </si>
  <si>
    <t>機械</t>
    <rPh sb="0" eb="2">
      <t>キカイ</t>
    </rPh>
    <phoneticPr fontId="2"/>
  </si>
  <si>
    <t>(本)</t>
    <rPh sb="1" eb="2">
      <t>ホン</t>
    </rPh>
    <phoneticPr fontId="2"/>
  </si>
  <si>
    <t>40x600</t>
    <phoneticPr fontId="2"/>
  </si>
  <si>
    <t>(本）</t>
    <rPh sb="1" eb="2">
      <t>ホン</t>
    </rPh>
    <phoneticPr fontId="2"/>
  </si>
  <si>
    <t>30x600</t>
    <phoneticPr fontId="2"/>
  </si>
  <si>
    <t>30x250R</t>
    <phoneticPr fontId="2"/>
  </si>
  <si>
    <t>30x200R</t>
    <phoneticPr fontId="2"/>
  </si>
  <si>
    <t>C</t>
    <phoneticPr fontId="2"/>
  </si>
  <si>
    <t>D</t>
    <phoneticPr fontId="2"/>
  </si>
  <si>
    <t>F</t>
    <phoneticPr fontId="2"/>
  </si>
  <si>
    <t>B</t>
    <phoneticPr fontId="2"/>
  </si>
  <si>
    <t>A</t>
    <phoneticPr fontId="2"/>
  </si>
  <si>
    <t>E</t>
    <phoneticPr fontId="2"/>
  </si>
  <si>
    <t>G</t>
    <phoneticPr fontId="2"/>
  </si>
  <si>
    <t>H</t>
    <phoneticPr fontId="2"/>
  </si>
  <si>
    <t>I</t>
    <phoneticPr fontId="2"/>
  </si>
  <si>
    <t>L</t>
    <phoneticPr fontId="2"/>
  </si>
  <si>
    <t>2017年</t>
    <rPh sb="4" eb="5">
      <t>ネン</t>
    </rPh>
    <phoneticPr fontId="2"/>
  </si>
  <si>
    <t>溶材品名</t>
    <rPh sb="0" eb="4">
      <t>ヨウザイヒンメイ</t>
    </rPh>
    <phoneticPr fontId="1"/>
  </si>
  <si>
    <t>径</t>
    <rPh sb="0" eb="1">
      <t>ケイ</t>
    </rPh>
    <phoneticPr fontId="1"/>
  </si>
  <si>
    <t>単位重量</t>
    <rPh sb="0" eb="4">
      <t>タンイジュウリョウ</t>
    </rPh>
    <phoneticPr fontId="1"/>
  </si>
  <si>
    <t>溶接法</t>
    <rPh sb="0" eb="2">
      <t>ヨウセツ</t>
    </rPh>
    <rPh sb="2" eb="3">
      <t>ホウ</t>
    </rPh>
    <phoneticPr fontId="1"/>
  </si>
  <si>
    <t>DW100</t>
  </si>
  <si>
    <t>DW100E</t>
  </si>
  <si>
    <t>DW100V</t>
  </si>
  <si>
    <t>DW309MOL</t>
  </si>
  <si>
    <t>MG50T</t>
  </si>
  <si>
    <t>MX100</t>
  </si>
  <si>
    <t>MX200</t>
  </si>
  <si>
    <t>MX200F</t>
  </si>
  <si>
    <t>MXZ200</t>
  </si>
  <si>
    <t>SF-1</t>
  </si>
  <si>
    <t>US36</t>
    <phoneticPr fontId="1"/>
  </si>
  <si>
    <t>US36P</t>
    <phoneticPr fontId="1"/>
  </si>
  <si>
    <t>B14</t>
  </si>
  <si>
    <t>LB26V</t>
    <phoneticPr fontId="1"/>
  </si>
  <si>
    <t>LB52T</t>
    <phoneticPr fontId="1"/>
  </si>
  <si>
    <t>SM50G</t>
    <phoneticPr fontId="1"/>
  </si>
  <si>
    <t>SS309MoL</t>
    <phoneticPr fontId="1"/>
  </si>
  <si>
    <t>SS316L</t>
    <phoneticPr fontId="1"/>
  </si>
  <si>
    <t>SL50R</t>
    <phoneticPr fontId="1"/>
  </si>
  <si>
    <t>Z44</t>
    <phoneticPr fontId="1"/>
  </si>
  <si>
    <t>TGS309MOL</t>
  </si>
  <si>
    <t>TGS316L</t>
  </si>
  <si>
    <t>TGS50</t>
  </si>
  <si>
    <t>一般船</t>
    <rPh sb="0" eb="3">
      <t>イッパンセン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</si>
</sst>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[Red]\(#,##0\)"/>
    <numFmt numFmtId="177" formatCode="#,##0_ "/>
    <numFmt numFmtId="178" formatCode="0.0%"/>
    <numFmt numFmtId="179" formatCode="0.0&quot;φ&quot;"/>
    <numFmt numFmtId="180" formatCode="0&quot;kg&quot;"/>
    <numFmt numFmtId="181" formatCode="0.0&quot;kg&quot;"/>
    <numFmt numFmtId="182" formatCode="yyyy/mm"/>
    <numFmt numFmtId="183" formatCode="#,##0.000_ "/>
    <numFmt numFmtId="184" formatCode="0&quot;年&quot;&quot;度&quot;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5" applyNumberFormat="0" applyFont="0" applyFill="0" applyAlignment="0" applyProtection="0"/>
  </cellStyleXfs>
  <cellXfs count="3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4" fontId="0" fillId="0" borderId="0" xfId="0" applyNumberFormat="1" applyBorder="1"/>
    <xf numFmtId="14" fontId="0" fillId="0" borderId="5" xfId="0" applyNumberFormat="1" applyBorder="1"/>
    <xf numFmtId="0" fontId="0" fillId="0" borderId="4" xfId="0" applyFill="1" applyBorder="1"/>
    <xf numFmtId="0" fontId="0" fillId="0" borderId="0" xfId="0" applyFill="1" applyBorder="1"/>
    <xf numFmtId="0" fontId="5" fillId="0" borderId="0" xfId="0" applyFont="1"/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shrinkToFit="1"/>
    </xf>
    <xf numFmtId="176" fontId="6" fillId="2" borderId="8" xfId="0" applyNumberFormat="1" applyFont="1" applyFill="1" applyBorder="1" applyAlignment="1">
      <alignment horizontal="center" shrinkToFit="1"/>
    </xf>
    <xf numFmtId="176" fontId="6" fillId="2" borderId="9" xfId="0" applyNumberFormat="1" applyFont="1" applyFill="1" applyBorder="1" applyAlignment="1">
      <alignment horizontal="center" shrinkToFit="1"/>
    </xf>
    <xf numFmtId="177" fontId="6" fillId="2" borderId="8" xfId="0" applyNumberFormat="1" applyFont="1" applyFill="1" applyBorder="1" applyAlignment="1">
      <alignment horizontal="center" shrinkToFit="1"/>
    </xf>
    <xf numFmtId="0" fontId="6" fillId="2" borderId="10" xfId="0" applyFont="1" applyFill="1" applyBorder="1" applyAlignment="1">
      <alignment horizontal="center" shrinkToFit="1"/>
    </xf>
    <xf numFmtId="177" fontId="6" fillId="3" borderId="9" xfId="0" applyNumberFormat="1" applyFont="1" applyFill="1" applyBorder="1" applyAlignment="1">
      <alignment horizontal="center" shrinkToFit="1"/>
    </xf>
    <xf numFmtId="177" fontId="6" fillId="3" borderId="8" xfId="0" applyNumberFormat="1" applyFont="1" applyFill="1" applyBorder="1" applyAlignment="1">
      <alignment horizontal="center" shrinkToFit="1"/>
    </xf>
    <xf numFmtId="176" fontId="6" fillId="3" borderId="8" xfId="0" applyNumberFormat="1" applyFont="1" applyFill="1" applyBorder="1" applyAlignment="1">
      <alignment horizontal="center" shrinkToFit="1"/>
    </xf>
    <xf numFmtId="176" fontId="6" fillId="3" borderId="10" xfId="0" applyNumberFormat="1" applyFont="1" applyFill="1" applyBorder="1" applyAlignment="1">
      <alignment horizontal="center" shrinkToFit="1"/>
    </xf>
    <xf numFmtId="176" fontId="6" fillId="3" borderId="6" xfId="0" applyNumberFormat="1" applyFont="1" applyFill="1" applyBorder="1" applyAlignment="1">
      <alignment horizontal="center" shrinkToFit="1"/>
    </xf>
    <xf numFmtId="176" fontId="6" fillId="4" borderId="9" xfId="0" applyNumberFormat="1" applyFont="1" applyFill="1" applyBorder="1" applyAlignment="1">
      <alignment horizontal="center" shrinkToFit="1"/>
    </xf>
    <xf numFmtId="176" fontId="6" fillId="4" borderId="8" xfId="0" applyNumberFormat="1" applyFont="1" applyFill="1" applyBorder="1" applyAlignment="1">
      <alignment horizontal="center" shrinkToFit="1"/>
    </xf>
    <xf numFmtId="176" fontId="6" fillId="4" borderId="10" xfId="0" applyNumberFormat="1" applyFont="1" applyFill="1" applyBorder="1" applyAlignment="1">
      <alignment horizontal="center" shrinkToFit="1"/>
    </xf>
    <xf numFmtId="176" fontId="6" fillId="4" borderId="6" xfId="0" applyNumberFormat="1" applyFont="1" applyFill="1" applyBorder="1" applyAlignment="1">
      <alignment horizontal="center" shrinkToFit="1"/>
    </xf>
    <xf numFmtId="176" fontId="6" fillId="5" borderId="9" xfId="0" applyNumberFormat="1" applyFont="1" applyFill="1" applyBorder="1" applyAlignment="1">
      <alignment horizontal="center" shrinkToFit="1"/>
    </xf>
    <xf numFmtId="176" fontId="6" fillId="5" borderId="8" xfId="0" applyNumberFormat="1" applyFont="1" applyFill="1" applyBorder="1" applyAlignment="1">
      <alignment horizontal="center" shrinkToFit="1"/>
    </xf>
    <xf numFmtId="176" fontId="6" fillId="5" borderId="10" xfId="0" applyNumberFormat="1" applyFont="1" applyFill="1" applyBorder="1" applyAlignment="1">
      <alignment horizontal="center" shrinkToFit="1"/>
    </xf>
    <xf numFmtId="176" fontId="6" fillId="5" borderId="6" xfId="0" applyNumberFormat="1" applyFont="1" applyFill="1" applyBorder="1" applyAlignment="1">
      <alignment horizontal="center" shrinkToFit="1"/>
    </xf>
    <xf numFmtId="177" fontId="6" fillId="6" borderId="1" xfId="0" applyNumberFormat="1" applyFont="1" applyFill="1" applyBorder="1" applyAlignment="1">
      <alignment horizontal="center" shrinkToFit="1"/>
    </xf>
    <xf numFmtId="177" fontId="6" fillId="6" borderId="2" xfId="0" applyNumberFormat="1" applyFont="1" applyFill="1" applyBorder="1" applyAlignment="1">
      <alignment horizontal="center" shrinkToFit="1"/>
    </xf>
    <xf numFmtId="176" fontId="6" fillId="6" borderId="2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76" fontId="6" fillId="6" borderId="6" xfId="0" applyNumberFormat="1" applyFont="1" applyFill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horizontal="left"/>
    </xf>
    <xf numFmtId="178" fontId="6" fillId="0" borderId="0" xfId="0" applyNumberFormat="1" applyFont="1" applyAlignment="1">
      <alignment horizontal="center" shrinkToFit="1"/>
    </xf>
    <xf numFmtId="179" fontId="6" fillId="0" borderId="38" xfId="0" applyNumberFormat="1" applyFont="1" applyBorder="1" applyAlignment="1">
      <alignment horizontal="center"/>
    </xf>
    <xf numFmtId="180" fontId="6" fillId="0" borderId="40" xfId="0" applyNumberFormat="1" applyFont="1" applyBorder="1" applyAlignment="1">
      <alignment horizontal="center" shrinkToFit="1"/>
    </xf>
    <xf numFmtId="181" fontId="6" fillId="0" borderId="42" xfId="0" applyNumberFormat="1" applyFont="1" applyBorder="1" applyAlignment="1">
      <alignment horizontal="center" shrinkToFit="1"/>
    </xf>
    <xf numFmtId="180" fontId="6" fillId="0" borderId="15" xfId="0" applyNumberFormat="1" applyFont="1" applyBorder="1" applyAlignment="1">
      <alignment horizontal="center" shrinkToFit="1"/>
    </xf>
    <xf numFmtId="181" fontId="6" fillId="0" borderId="15" xfId="0" applyNumberFormat="1" applyFont="1" applyBorder="1" applyAlignment="1">
      <alignment horizontal="center" shrinkToFit="1"/>
    </xf>
    <xf numFmtId="180" fontId="6" fillId="0" borderId="27" xfId="0" applyNumberFormat="1" applyFont="1" applyBorder="1" applyAlignment="1">
      <alignment horizontal="center" shrinkToFit="1"/>
    </xf>
    <xf numFmtId="180" fontId="6" fillId="0" borderId="42" xfId="0" applyNumberFormat="1" applyFont="1" applyBorder="1" applyAlignment="1">
      <alignment horizontal="center" shrinkToFit="1"/>
    </xf>
    <xf numFmtId="180" fontId="6" fillId="0" borderId="14" xfId="0" applyNumberFormat="1" applyFont="1" applyBorder="1" applyAlignment="1">
      <alignment horizontal="center" shrinkToFit="1"/>
    </xf>
    <xf numFmtId="180" fontId="6" fillId="0" borderId="25" xfId="0" applyNumberFormat="1" applyFont="1" applyBorder="1" applyAlignment="1">
      <alignment horizontal="center" shrinkToFit="1"/>
    </xf>
    <xf numFmtId="180" fontId="6" fillId="0" borderId="26" xfId="0" applyNumberFormat="1" applyFont="1" applyBorder="1" applyAlignment="1">
      <alignment horizontal="center" shrinkToFit="1"/>
    </xf>
    <xf numFmtId="180" fontId="6" fillId="0" borderId="43" xfId="0" applyNumberFormat="1" applyFont="1" applyBorder="1" applyAlignment="1">
      <alignment horizontal="center" shrinkToFit="1"/>
    </xf>
    <xf numFmtId="180" fontId="6" fillId="0" borderId="44" xfId="0" applyNumberFormat="1" applyFont="1" applyBorder="1" applyAlignment="1">
      <alignment horizontal="center" shrinkToFit="1"/>
    </xf>
    <xf numFmtId="180" fontId="6" fillId="0" borderId="45" xfId="0" applyNumberFormat="1" applyFont="1" applyBorder="1" applyAlignment="1">
      <alignment horizontal="center" shrinkToFit="1"/>
    </xf>
    <xf numFmtId="180" fontId="6" fillId="2" borderId="46" xfId="0" applyNumberFormat="1" applyFont="1" applyFill="1" applyBorder="1" applyAlignment="1">
      <alignment horizontal="center" shrinkToFit="1"/>
    </xf>
    <xf numFmtId="180" fontId="6" fillId="2" borderId="27" xfId="0" applyNumberFormat="1" applyFont="1" applyFill="1" applyBorder="1" applyAlignment="1">
      <alignment horizontal="center" shrinkToFit="1"/>
    </xf>
    <xf numFmtId="180" fontId="6" fillId="2" borderId="32" xfId="0" applyNumberFormat="1" applyFont="1" applyFill="1" applyBorder="1" applyAlignment="1">
      <alignment horizontal="center" shrinkToFit="1"/>
    </xf>
    <xf numFmtId="180" fontId="6" fillId="0" borderId="46" xfId="0" applyNumberFormat="1" applyFont="1" applyBorder="1" applyAlignment="1">
      <alignment horizontal="center" shrinkToFit="1"/>
    </xf>
    <xf numFmtId="180" fontId="6" fillId="0" borderId="32" xfId="0" applyNumberFormat="1" applyFont="1" applyBorder="1" applyAlignment="1">
      <alignment horizontal="center" shrinkToFit="1"/>
    </xf>
    <xf numFmtId="180" fontId="6" fillId="3" borderId="47" xfId="0" applyNumberFormat="1" applyFont="1" applyFill="1" applyBorder="1" applyAlignment="1">
      <alignment horizontal="center" shrinkToFit="1"/>
    </xf>
    <xf numFmtId="180" fontId="6" fillId="0" borderId="47" xfId="0" applyNumberFormat="1" applyFont="1" applyBorder="1" applyAlignment="1">
      <alignment horizontal="center" shrinkToFit="1"/>
    </xf>
    <xf numFmtId="181" fontId="6" fillId="0" borderId="46" xfId="0" applyNumberFormat="1" applyFont="1" applyBorder="1" applyAlignment="1">
      <alignment horizontal="center" shrinkToFit="1"/>
    </xf>
    <xf numFmtId="180" fontId="6" fillId="0" borderId="29" xfId="0" applyNumberFormat="1" applyFont="1" applyBorder="1" applyAlignment="1">
      <alignment horizontal="center" shrinkToFit="1"/>
    </xf>
    <xf numFmtId="180" fontId="6" fillId="4" borderId="47" xfId="0" applyNumberFormat="1" applyFont="1" applyFill="1" applyBorder="1" applyAlignment="1">
      <alignment horizontal="center" shrinkToFit="1"/>
    </xf>
    <xf numFmtId="180" fontId="6" fillId="5" borderId="47" xfId="0" applyNumberFormat="1" applyFont="1" applyFill="1" applyBorder="1" applyAlignment="1">
      <alignment horizontal="center" shrinkToFit="1"/>
    </xf>
    <xf numFmtId="180" fontId="6" fillId="0" borderId="49" xfId="0" applyNumberFormat="1" applyFont="1" applyBorder="1" applyAlignment="1">
      <alignment horizontal="center" shrinkToFit="1"/>
    </xf>
    <xf numFmtId="180" fontId="6" fillId="0" borderId="50" xfId="0" applyNumberFormat="1" applyFont="1" applyBorder="1" applyAlignment="1">
      <alignment horizontal="center" shrinkToFit="1"/>
    </xf>
    <xf numFmtId="180" fontId="6" fillId="6" borderId="47" xfId="0" applyNumberFormat="1" applyFont="1" applyFill="1" applyBorder="1" applyAlignment="1">
      <alignment horizontal="center" shrinkToFit="1"/>
    </xf>
    <xf numFmtId="0" fontId="6" fillId="0" borderId="28" xfId="0" applyFont="1" applyBorder="1" applyAlignment="1">
      <alignment horizontal="center" shrinkToFit="1"/>
    </xf>
    <xf numFmtId="0" fontId="6" fillId="0" borderId="15" xfId="0" applyFont="1" applyBorder="1" applyAlignment="1">
      <alignment horizontal="center" shrinkToFit="1"/>
    </xf>
    <xf numFmtId="0" fontId="6" fillId="0" borderId="29" xfId="0" applyFont="1" applyBorder="1" applyAlignment="1">
      <alignment horizontal="center" shrinkToFit="1"/>
    </xf>
    <xf numFmtId="0" fontId="6" fillId="0" borderId="51" xfId="0" applyFont="1" applyBorder="1" applyAlignment="1">
      <alignment horizontal="right" shrinkToFit="1"/>
    </xf>
    <xf numFmtId="176" fontId="6" fillId="0" borderId="53" xfId="0" applyNumberFormat="1" applyFont="1" applyBorder="1" applyAlignment="1">
      <alignment horizontal="center" shrinkToFit="1"/>
    </xf>
    <xf numFmtId="176" fontId="6" fillId="0" borderId="54" xfId="0" applyNumberFormat="1" applyFont="1" applyBorder="1" applyAlignment="1">
      <alignment horizontal="center" shrinkToFit="1"/>
    </xf>
    <xf numFmtId="176" fontId="6" fillId="0" borderId="56" xfId="0" applyNumberFormat="1" applyFont="1" applyBorder="1" applyAlignment="1">
      <alignment horizontal="center" shrinkToFit="1"/>
    </xf>
    <xf numFmtId="176" fontId="6" fillId="0" borderId="57" xfId="0" applyNumberFormat="1" applyFont="1" applyBorder="1" applyAlignment="1">
      <alignment horizontal="center" shrinkToFit="1"/>
    </xf>
    <xf numFmtId="176" fontId="6" fillId="0" borderId="58" xfId="0" applyNumberFormat="1" applyFont="1" applyBorder="1" applyAlignment="1">
      <alignment horizontal="center" shrinkToFit="1"/>
    </xf>
    <xf numFmtId="176" fontId="6" fillId="0" borderId="59" xfId="0" applyNumberFormat="1" applyFont="1" applyBorder="1" applyAlignment="1">
      <alignment horizontal="center" shrinkToFit="1"/>
    </xf>
    <xf numFmtId="176" fontId="6" fillId="0" borderId="60" xfId="0" applyNumberFormat="1" applyFont="1" applyBorder="1" applyAlignment="1">
      <alignment horizontal="center" shrinkToFit="1"/>
    </xf>
    <xf numFmtId="176" fontId="6" fillId="0" borderId="61" xfId="0" applyNumberFormat="1" applyFont="1" applyBorder="1" applyAlignment="1">
      <alignment horizontal="center" shrinkToFit="1"/>
    </xf>
    <xf numFmtId="176" fontId="6" fillId="0" borderId="62" xfId="0" applyNumberFormat="1" applyFont="1" applyBorder="1" applyAlignment="1">
      <alignment horizontal="center" shrinkToFit="1"/>
    </xf>
    <xf numFmtId="176" fontId="6" fillId="0" borderId="63" xfId="0" applyNumberFormat="1" applyFont="1" applyBorder="1" applyAlignment="1">
      <alignment horizontal="center" shrinkToFit="1"/>
    </xf>
    <xf numFmtId="176" fontId="6" fillId="0" borderId="64" xfId="0" applyNumberFormat="1" applyFont="1" applyBorder="1" applyAlignment="1">
      <alignment horizontal="center" shrinkToFit="1"/>
    </xf>
    <xf numFmtId="176" fontId="6" fillId="2" borderId="65" xfId="0" applyNumberFormat="1" applyFont="1" applyFill="1" applyBorder="1" applyAlignment="1">
      <alignment horizontal="center" shrinkToFit="1"/>
    </xf>
    <xf numFmtId="176" fontId="6" fillId="2" borderId="63" xfId="0" applyNumberFormat="1" applyFont="1" applyFill="1" applyBorder="1" applyAlignment="1">
      <alignment horizontal="center" shrinkToFit="1"/>
    </xf>
    <xf numFmtId="0" fontId="6" fillId="2" borderId="58" xfId="0" applyFont="1" applyFill="1" applyBorder="1" applyAlignment="1">
      <alignment horizontal="center" shrinkToFit="1"/>
    </xf>
    <xf numFmtId="177" fontId="6" fillId="2" borderId="66" xfId="0" applyNumberFormat="1" applyFont="1" applyFill="1" applyBorder="1" applyAlignment="1">
      <alignment horizontal="center" shrinkToFit="1"/>
    </xf>
    <xf numFmtId="177" fontId="6" fillId="0" borderId="65" xfId="0" applyNumberFormat="1" applyFont="1" applyBorder="1" applyAlignment="1">
      <alignment horizontal="center" shrinkToFit="1"/>
    </xf>
    <xf numFmtId="177" fontId="6" fillId="0" borderId="58" xfId="0" applyNumberFormat="1" applyFont="1" applyBorder="1" applyAlignment="1">
      <alignment horizontal="center" shrinkToFit="1"/>
    </xf>
    <xf numFmtId="176" fontId="6" fillId="0" borderId="67" xfId="0" applyNumberFormat="1" applyFont="1" applyBorder="1" applyAlignment="1">
      <alignment horizontal="center" shrinkToFit="1"/>
    </xf>
    <xf numFmtId="176" fontId="6" fillId="0" borderId="66" xfId="0" applyNumberFormat="1" applyFont="1" applyBorder="1" applyAlignment="1">
      <alignment horizontal="center" shrinkToFit="1"/>
    </xf>
    <xf numFmtId="176" fontId="6" fillId="3" borderId="68" xfId="0" applyNumberFormat="1" applyFont="1" applyFill="1" applyBorder="1" applyAlignment="1">
      <alignment horizontal="center" shrinkToFit="1"/>
    </xf>
    <xf numFmtId="176" fontId="6" fillId="0" borderId="69" xfId="0" applyNumberFormat="1" applyFont="1" applyBorder="1" applyAlignment="1">
      <alignment horizontal="center" shrinkToFit="1"/>
    </xf>
    <xf numFmtId="176" fontId="6" fillId="0" borderId="65" xfId="0" applyNumberFormat="1" applyFont="1" applyBorder="1" applyAlignment="1">
      <alignment horizontal="center" shrinkToFit="1"/>
    </xf>
    <xf numFmtId="176" fontId="6" fillId="0" borderId="70" xfId="0" applyNumberFormat="1" applyFont="1" applyBorder="1" applyAlignment="1">
      <alignment horizontal="center" shrinkToFit="1"/>
    </xf>
    <xf numFmtId="176" fontId="6" fillId="4" borderId="69" xfId="0" applyNumberFormat="1" applyFont="1" applyFill="1" applyBorder="1" applyAlignment="1">
      <alignment horizontal="center" shrinkToFit="1"/>
    </xf>
    <xf numFmtId="176" fontId="6" fillId="5" borderId="69" xfId="0" applyNumberFormat="1" applyFont="1" applyFill="1" applyBorder="1" applyAlignment="1">
      <alignment horizontal="center" shrinkToFit="1"/>
    </xf>
    <xf numFmtId="177" fontId="6" fillId="0" borderId="52" xfId="0" applyNumberFormat="1" applyFont="1" applyBorder="1" applyAlignment="1">
      <alignment horizontal="center" shrinkToFit="1"/>
    </xf>
    <xf numFmtId="177" fontId="6" fillId="0" borderId="71" xfId="0" applyNumberFormat="1" applyFont="1" applyBorder="1" applyAlignment="1">
      <alignment horizontal="center" shrinkToFit="1"/>
    </xf>
    <xf numFmtId="177" fontId="6" fillId="0" borderId="53" xfId="0" applyNumberFormat="1" applyFont="1" applyBorder="1" applyAlignment="1">
      <alignment horizontal="center" shrinkToFit="1"/>
    </xf>
    <xf numFmtId="177" fontId="6" fillId="0" borderId="56" xfId="0" applyNumberFormat="1" applyFont="1" applyBorder="1" applyAlignment="1">
      <alignment horizontal="center" shrinkToFit="1"/>
    </xf>
    <xf numFmtId="176" fontId="6" fillId="6" borderId="69" xfId="0" applyNumberFormat="1" applyFont="1" applyFill="1" applyBorder="1" applyAlignment="1">
      <alignment horizontal="center" shrinkToFit="1"/>
    </xf>
    <xf numFmtId="0" fontId="6" fillId="0" borderId="72" xfId="0" applyFont="1" applyBorder="1" applyAlignment="1">
      <alignment horizontal="center" shrinkToFit="1"/>
    </xf>
    <xf numFmtId="0" fontId="6" fillId="0" borderId="57" xfId="0" applyFont="1" applyBorder="1" applyAlignment="1">
      <alignment horizontal="center"/>
    </xf>
    <xf numFmtId="0" fontId="6" fillId="0" borderId="57" xfId="0" applyFont="1" applyBorder="1" applyAlignment="1">
      <alignment horizontal="center" shrinkToFit="1"/>
    </xf>
    <xf numFmtId="0" fontId="6" fillId="0" borderId="73" xfId="0" applyFont="1" applyBorder="1" applyAlignment="1">
      <alignment horizontal="center" shrinkToFit="1"/>
    </xf>
    <xf numFmtId="0" fontId="6" fillId="0" borderId="9" xfId="0" applyFont="1" applyBorder="1" applyAlignment="1">
      <alignment horizontal="right"/>
    </xf>
    <xf numFmtId="176" fontId="6" fillId="8" borderId="75" xfId="0" applyNumberFormat="1" applyFont="1" applyFill="1" applyBorder="1"/>
    <xf numFmtId="176" fontId="6" fillId="8" borderId="76" xfId="0" applyNumberFormat="1" applyFont="1" applyFill="1" applyBorder="1"/>
    <xf numFmtId="176" fontId="6" fillId="0" borderId="77" xfId="0" applyNumberFormat="1" applyFont="1" applyFill="1" applyBorder="1"/>
    <xf numFmtId="176" fontId="6" fillId="8" borderId="78" xfId="0" applyNumberFormat="1" applyFont="1" applyFill="1" applyBorder="1"/>
    <xf numFmtId="176" fontId="6" fillId="0" borderId="79" xfId="0" applyNumberFormat="1" applyFont="1" applyFill="1" applyBorder="1"/>
    <xf numFmtId="176" fontId="6" fillId="0" borderId="76" xfId="0" applyNumberFormat="1" applyFont="1" applyFill="1" applyBorder="1"/>
    <xf numFmtId="176" fontId="6" fillId="8" borderId="79" xfId="0" applyNumberFormat="1" applyFont="1" applyFill="1" applyBorder="1"/>
    <xf numFmtId="176" fontId="6" fillId="0" borderId="78" xfId="0" applyNumberFormat="1" applyFont="1" applyFill="1" applyBorder="1"/>
    <xf numFmtId="176" fontId="6" fillId="0" borderId="75" xfId="0" applyNumberFormat="1" applyFont="1" applyFill="1" applyBorder="1"/>
    <xf numFmtId="176" fontId="6" fillId="0" borderId="8" xfId="0" applyNumberFormat="1" applyFont="1" applyFill="1" applyBorder="1"/>
    <xf numFmtId="176" fontId="6" fillId="8" borderId="80" xfId="0" applyNumberFormat="1" applyFont="1" applyFill="1" applyBorder="1"/>
    <xf numFmtId="176" fontId="6" fillId="8" borderId="77" xfId="0" applyNumberFormat="1" applyFont="1" applyFill="1" applyBorder="1"/>
    <xf numFmtId="176" fontId="6" fillId="0" borderId="81" xfId="0" applyNumberFormat="1" applyFont="1" applyFill="1" applyBorder="1"/>
    <xf numFmtId="176" fontId="6" fillId="0" borderId="10" xfId="0" applyNumberFormat="1" applyFont="1" applyFill="1" applyBorder="1"/>
    <xf numFmtId="176" fontId="6" fillId="2" borderId="82" xfId="0" applyNumberFormat="1" applyFont="1" applyFill="1" applyBorder="1"/>
    <xf numFmtId="176" fontId="6" fillId="2" borderId="81" xfId="0" applyNumberFormat="1" applyFont="1" applyFill="1" applyBorder="1"/>
    <xf numFmtId="177" fontId="6" fillId="2" borderId="79" xfId="0" applyNumberFormat="1" applyFont="1" applyFill="1" applyBorder="1"/>
    <xf numFmtId="183" fontId="6" fillId="2" borderId="83" xfId="0" applyNumberFormat="1" applyFont="1" applyFill="1" applyBorder="1"/>
    <xf numFmtId="177" fontId="6" fillId="8" borderId="82" xfId="0" applyNumberFormat="1" applyFont="1" applyFill="1" applyBorder="1"/>
    <xf numFmtId="177" fontId="6" fillId="8" borderId="79" xfId="0" applyNumberFormat="1" applyFont="1" applyFill="1" applyBorder="1"/>
    <xf numFmtId="176" fontId="6" fillId="8" borderId="83" xfId="0" applyNumberFormat="1" applyFont="1" applyFill="1" applyBorder="1"/>
    <xf numFmtId="176" fontId="6" fillId="3" borderId="6" xfId="0" applyNumberFormat="1" applyFont="1" applyFill="1" applyBorder="1"/>
    <xf numFmtId="176" fontId="6" fillId="0" borderId="6" xfId="0" applyNumberFormat="1" applyFont="1" applyFill="1" applyBorder="1"/>
    <xf numFmtId="176" fontId="6" fillId="0" borderId="82" xfId="0" applyNumberFormat="1" applyFont="1" applyBorder="1"/>
    <xf numFmtId="176" fontId="6" fillId="0" borderId="75" xfId="0" applyNumberFormat="1" applyFont="1" applyBorder="1"/>
    <xf numFmtId="176" fontId="6" fillId="0" borderId="79" xfId="0" applyNumberFormat="1" applyFont="1" applyBorder="1"/>
    <xf numFmtId="176" fontId="6" fillId="0" borderId="83" xfId="0" applyNumberFormat="1" applyFont="1" applyBorder="1"/>
    <xf numFmtId="176" fontId="6" fillId="4" borderId="6" xfId="0" applyNumberFormat="1" applyFont="1" applyFill="1" applyBorder="1"/>
    <xf numFmtId="176" fontId="6" fillId="0" borderId="80" xfId="0" applyNumberFormat="1" applyFont="1" applyBorder="1"/>
    <xf numFmtId="176" fontId="6" fillId="5" borderId="6" xfId="0" applyNumberFormat="1" applyFont="1" applyFill="1" applyBorder="1"/>
    <xf numFmtId="176" fontId="6" fillId="6" borderId="6" xfId="0" applyNumberFormat="1" applyFont="1" applyFill="1" applyBorder="1"/>
    <xf numFmtId="176" fontId="6" fillId="8" borderId="82" xfId="0" applyNumberFormat="1" applyFont="1" applyFill="1" applyBorder="1"/>
    <xf numFmtId="177" fontId="6" fillId="9" borderId="9" xfId="0" applyNumberFormat="1" applyFont="1" applyFill="1" applyBorder="1"/>
    <xf numFmtId="176" fontId="6" fillId="9" borderId="8" xfId="0" applyNumberFormat="1" applyFont="1" applyFill="1" applyBorder="1"/>
    <xf numFmtId="0" fontId="6" fillId="9" borderId="8" xfId="0" applyFont="1" applyFill="1" applyBorder="1"/>
    <xf numFmtId="0" fontId="6" fillId="9" borderId="10" xfId="0" applyFont="1" applyFill="1" applyBorder="1"/>
    <xf numFmtId="178" fontId="6" fillId="9" borderId="9" xfId="0" applyNumberFormat="1" applyFont="1" applyFill="1" applyBorder="1"/>
    <xf numFmtId="0" fontId="6" fillId="0" borderId="10" xfId="0" applyFont="1" applyBorder="1"/>
    <xf numFmtId="176" fontId="6" fillId="0" borderId="9" xfId="0" applyNumberFormat="1" applyFont="1" applyBorder="1"/>
    <xf numFmtId="176" fontId="6" fillId="0" borderId="10" xfId="0" applyNumberFormat="1" applyFont="1" applyBorder="1"/>
    <xf numFmtId="0" fontId="6" fillId="0" borderId="4" xfId="0" applyFont="1" applyBorder="1" applyAlignment="1">
      <alignment horizontal="right"/>
    </xf>
    <xf numFmtId="176" fontId="6" fillId="8" borderId="84" xfId="0" applyNumberFormat="1" applyFont="1" applyFill="1" applyBorder="1"/>
    <xf numFmtId="176" fontId="6" fillId="8" borderId="85" xfId="0" applyNumberFormat="1" applyFont="1" applyFill="1" applyBorder="1"/>
    <xf numFmtId="176" fontId="6" fillId="0" borderId="85" xfId="0" applyNumberFormat="1" applyFont="1" applyFill="1" applyBorder="1"/>
    <xf numFmtId="176" fontId="6" fillId="8" borderId="86" xfId="0" applyNumberFormat="1" applyFont="1" applyFill="1" applyBorder="1"/>
    <xf numFmtId="176" fontId="6" fillId="0" borderId="17" xfId="0" applyNumberFormat="1" applyFont="1" applyFill="1" applyBorder="1"/>
    <xf numFmtId="176" fontId="6" fillId="8" borderId="17" xfId="0" applyNumberFormat="1" applyFont="1" applyFill="1" applyBorder="1"/>
    <xf numFmtId="176" fontId="6" fillId="0" borderId="86" xfId="0" applyNumberFormat="1" applyFont="1" applyFill="1" applyBorder="1"/>
    <xf numFmtId="176" fontId="6" fillId="0" borderId="84" xfId="0" applyNumberFormat="1" applyFont="1" applyFill="1" applyBorder="1"/>
    <xf numFmtId="176" fontId="6" fillId="0" borderId="0" xfId="0" applyNumberFormat="1" applyFont="1" applyFill="1" applyBorder="1"/>
    <xf numFmtId="176" fontId="6" fillId="8" borderId="74" xfId="0" applyNumberFormat="1" applyFont="1" applyFill="1" applyBorder="1"/>
    <xf numFmtId="176" fontId="6" fillId="8" borderId="87" xfId="0" applyNumberFormat="1" applyFont="1" applyFill="1" applyBorder="1"/>
    <xf numFmtId="176" fontId="6" fillId="0" borderId="31" xfId="0" applyNumberFormat="1" applyFont="1" applyFill="1" applyBorder="1"/>
    <xf numFmtId="176" fontId="6" fillId="0" borderId="5" xfId="0" applyNumberFormat="1" applyFont="1" applyFill="1" applyBorder="1"/>
    <xf numFmtId="176" fontId="6" fillId="2" borderId="16" xfId="0" applyNumberFormat="1" applyFont="1" applyFill="1" applyBorder="1"/>
    <xf numFmtId="176" fontId="6" fillId="2" borderId="31" xfId="0" applyNumberFormat="1" applyFont="1" applyFill="1" applyBorder="1"/>
    <xf numFmtId="177" fontId="6" fillId="2" borderId="17" xfId="0" applyNumberFormat="1" applyFont="1" applyFill="1" applyBorder="1"/>
    <xf numFmtId="183" fontId="6" fillId="2" borderId="18" xfId="0" applyNumberFormat="1" applyFont="1" applyFill="1" applyBorder="1"/>
    <xf numFmtId="177" fontId="6" fillId="8" borderId="16" xfId="0" applyNumberFormat="1" applyFont="1" applyFill="1" applyBorder="1"/>
    <xf numFmtId="177" fontId="6" fillId="8" borderId="17" xfId="0" applyNumberFormat="1" applyFont="1" applyFill="1" applyBorder="1"/>
    <xf numFmtId="176" fontId="6" fillId="8" borderId="18" xfId="0" applyNumberFormat="1" applyFont="1" applyFill="1" applyBorder="1"/>
    <xf numFmtId="176" fontId="6" fillId="3" borderId="7" xfId="0" applyNumberFormat="1" applyFont="1" applyFill="1" applyBorder="1"/>
    <xf numFmtId="176" fontId="6" fillId="0" borderId="7" xfId="0" applyNumberFormat="1" applyFont="1" applyFill="1" applyBorder="1"/>
    <xf numFmtId="176" fontId="6" fillId="0" borderId="16" xfId="0" applyNumberFormat="1" applyFont="1" applyBorder="1"/>
    <xf numFmtId="176" fontId="6" fillId="0" borderId="84" xfId="0" applyNumberFormat="1" applyFont="1" applyBorder="1"/>
    <xf numFmtId="176" fontId="6" fillId="0" borderId="17" xfId="0" applyNumberFormat="1" applyFont="1" applyBorder="1"/>
    <xf numFmtId="176" fontId="6" fillId="0" borderId="18" xfId="0" applyNumberFormat="1" applyFont="1" applyBorder="1"/>
    <xf numFmtId="176" fontId="6" fillId="4" borderId="7" xfId="0" applyNumberFormat="1" applyFont="1" applyFill="1" applyBorder="1"/>
    <xf numFmtId="176" fontId="6" fillId="0" borderId="74" xfId="0" applyNumberFormat="1" applyFont="1" applyBorder="1"/>
    <xf numFmtId="176" fontId="6" fillId="5" borderId="7" xfId="0" applyNumberFormat="1" applyFont="1" applyFill="1" applyBorder="1"/>
    <xf numFmtId="176" fontId="6" fillId="6" borderId="7" xfId="0" applyNumberFormat="1" applyFont="1" applyFill="1" applyBorder="1"/>
    <xf numFmtId="176" fontId="6" fillId="8" borderId="16" xfId="0" applyNumberFormat="1" applyFont="1" applyFill="1" applyBorder="1"/>
    <xf numFmtId="177" fontId="6" fillId="0" borderId="4" xfId="0" applyNumberFormat="1" applyFont="1" applyFill="1" applyBorder="1"/>
    <xf numFmtId="0" fontId="6" fillId="0" borderId="0" xfId="0" applyFont="1" applyFill="1" applyBorder="1"/>
    <xf numFmtId="0" fontId="6" fillId="0" borderId="5" xfId="0" applyFont="1" applyFill="1" applyBorder="1"/>
    <xf numFmtId="178" fontId="6" fillId="0" borderId="4" xfId="0" applyNumberFormat="1" applyFont="1" applyFill="1" applyBorder="1"/>
    <xf numFmtId="0" fontId="6" fillId="0" borderId="5" xfId="0" applyFont="1" applyBorder="1"/>
    <xf numFmtId="176" fontId="6" fillId="0" borderId="4" xfId="0" applyNumberFormat="1" applyFont="1" applyBorder="1"/>
    <xf numFmtId="176" fontId="6" fillId="0" borderId="5" xfId="0" applyNumberFormat="1" applyFont="1" applyBorder="1"/>
    <xf numFmtId="0" fontId="6" fillId="0" borderId="88" xfId="0" applyFont="1" applyBorder="1" applyAlignment="1">
      <alignment horizontal="right"/>
    </xf>
    <xf numFmtId="177" fontId="6" fillId="9" borderId="4" xfId="0" applyNumberFormat="1" applyFont="1" applyFill="1" applyBorder="1"/>
    <xf numFmtId="176" fontId="6" fillId="9" borderId="0" xfId="0" applyNumberFormat="1" applyFont="1" applyFill="1" applyBorder="1"/>
    <xf numFmtId="0" fontId="6" fillId="9" borderId="0" xfId="0" applyFont="1" applyFill="1" applyBorder="1"/>
    <xf numFmtId="0" fontId="6" fillId="9" borderId="5" xfId="0" applyFont="1" applyFill="1" applyBorder="1"/>
    <xf numFmtId="178" fontId="6" fillId="9" borderId="4" xfId="0" applyNumberFormat="1" applyFont="1" applyFill="1" applyBorder="1"/>
    <xf numFmtId="184" fontId="6" fillId="0" borderId="9" xfId="0" applyNumberFormat="1" applyFont="1" applyBorder="1" applyAlignment="1">
      <alignment horizontal="right"/>
    </xf>
    <xf numFmtId="177" fontId="6" fillId="0" borderId="9" xfId="0" applyNumberFormat="1" applyFont="1" applyFill="1" applyBorder="1"/>
    <xf numFmtId="0" fontId="6" fillId="0" borderId="8" xfId="0" applyFont="1" applyFill="1" applyBorder="1"/>
    <xf numFmtId="0" fontId="6" fillId="0" borderId="10" xfId="0" applyFont="1" applyFill="1" applyBorder="1"/>
    <xf numFmtId="178" fontId="6" fillId="0" borderId="9" xfId="0" applyNumberFormat="1" applyFont="1" applyFill="1" applyBorder="1"/>
    <xf numFmtId="0" fontId="6" fillId="0" borderId="4" xfId="0" applyFont="1" applyFill="1" applyBorder="1" applyAlignment="1">
      <alignment horizontal="right"/>
    </xf>
    <xf numFmtId="176" fontId="6" fillId="0" borderId="16" xfId="0" applyNumberFormat="1" applyFont="1" applyFill="1" applyBorder="1"/>
    <xf numFmtId="176" fontId="6" fillId="0" borderId="18" xfId="0" applyNumberFormat="1" applyFont="1" applyFill="1" applyBorder="1"/>
    <xf numFmtId="176" fontId="6" fillId="0" borderId="74" xfId="0" applyNumberFormat="1" applyFont="1" applyFill="1" applyBorder="1"/>
    <xf numFmtId="176" fontId="6" fillId="0" borderId="4" xfId="0" applyNumberFormat="1" applyFont="1" applyFill="1" applyBorder="1"/>
    <xf numFmtId="176" fontId="6" fillId="8" borderId="53" xfId="0" applyNumberFormat="1" applyFont="1" applyFill="1" applyBorder="1"/>
    <xf numFmtId="176" fontId="6" fillId="8" borderId="54" xfId="0" applyNumberFormat="1" applyFont="1" applyFill="1" applyBorder="1"/>
    <xf numFmtId="176" fontId="6" fillId="0" borderId="54" xfId="0" applyNumberFormat="1" applyFont="1" applyFill="1" applyBorder="1"/>
    <xf numFmtId="176" fontId="6" fillId="8" borderId="56" xfId="0" applyNumberFormat="1" applyFont="1" applyFill="1" applyBorder="1"/>
    <xf numFmtId="176" fontId="6" fillId="0" borderId="58" xfId="0" applyNumberFormat="1" applyFont="1" applyFill="1" applyBorder="1"/>
    <xf numFmtId="176" fontId="6" fillId="8" borderId="58" xfId="0" applyNumberFormat="1" applyFont="1" applyFill="1" applyBorder="1"/>
    <xf numFmtId="176" fontId="6" fillId="0" borderId="56" xfId="0" applyNumberFormat="1" applyFont="1" applyFill="1" applyBorder="1"/>
    <xf numFmtId="176" fontId="6" fillId="0" borderId="53" xfId="0" applyNumberFormat="1" applyFont="1" applyFill="1" applyBorder="1"/>
    <xf numFmtId="176" fontId="6" fillId="0" borderId="55" xfId="0" applyNumberFormat="1" applyFont="1" applyFill="1" applyBorder="1"/>
    <xf numFmtId="176" fontId="6" fillId="8" borderId="67" xfId="0" applyNumberFormat="1" applyFont="1" applyFill="1" applyBorder="1"/>
    <xf numFmtId="176" fontId="6" fillId="8" borderId="71" xfId="0" applyNumberFormat="1" applyFont="1" applyFill="1" applyBorder="1"/>
    <xf numFmtId="176" fontId="6" fillId="0" borderId="63" xfId="0" applyNumberFormat="1" applyFont="1" applyFill="1" applyBorder="1"/>
    <xf numFmtId="176" fontId="6" fillId="0" borderId="89" xfId="0" applyNumberFormat="1" applyFont="1" applyFill="1" applyBorder="1"/>
    <xf numFmtId="176" fontId="6" fillId="2" borderId="65" xfId="0" applyNumberFormat="1" applyFont="1" applyFill="1" applyBorder="1"/>
    <xf numFmtId="176" fontId="6" fillId="2" borderId="63" xfId="0" applyNumberFormat="1" applyFont="1" applyFill="1" applyBorder="1"/>
    <xf numFmtId="177" fontId="6" fillId="2" borderId="58" xfId="0" applyNumberFormat="1" applyFont="1" applyFill="1" applyBorder="1"/>
    <xf numFmtId="183" fontId="6" fillId="2" borderId="66" xfId="0" applyNumberFormat="1" applyFont="1" applyFill="1" applyBorder="1"/>
    <xf numFmtId="177" fontId="6" fillId="8" borderId="65" xfId="0" applyNumberFormat="1" applyFont="1" applyFill="1" applyBorder="1"/>
    <xf numFmtId="177" fontId="6" fillId="8" borderId="58" xfId="0" applyNumberFormat="1" applyFont="1" applyFill="1" applyBorder="1"/>
    <xf numFmtId="176" fontId="6" fillId="8" borderId="66" xfId="0" applyNumberFormat="1" applyFont="1" applyFill="1" applyBorder="1"/>
    <xf numFmtId="176" fontId="6" fillId="3" borderId="69" xfId="0" applyNumberFormat="1" applyFont="1" applyFill="1" applyBorder="1"/>
    <xf numFmtId="176" fontId="6" fillId="0" borderId="69" xfId="0" applyNumberFormat="1" applyFont="1" applyFill="1" applyBorder="1"/>
    <xf numFmtId="176" fontId="6" fillId="0" borderId="65" xfId="0" applyNumberFormat="1" applyFont="1" applyBorder="1"/>
    <xf numFmtId="176" fontId="6" fillId="0" borderId="53" xfId="0" applyNumberFormat="1" applyFont="1" applyBorder="1"/>
    <xf numFmtId="176" fontId="6" fillId="0" borderId="58" xfId="0" applyNumberFormat="1" applyFont="1" applyBorder="1"/>
    <xf numFmtId="176" fontId="6" fillId="0" borderId="66" xfId="0" applyNumberFormat="1" applyFont="1" applyBorder="1"/>
    <xf numFmtId="176" fontId="6" fillId="4" borderId="69" xfId="0" applyNumberFormat="1" applyFont="1" applyFill="1" applyBorder="1"/>
    <xf numFmtId="176" fontId="6" fillId="0" borderId="67" xfId="0" applyNumberFormat="1" applyFont="1" applyBorder="1"/>
    <xf numFmtId="176" fontId="6" fillId="5" borderId="69" xfId="0" applyNumberFormat="1" applyFont="1" applyFill="1" applyBorder="1"/>
    <xf numFmtId="176" fontId="6" fillId="6" borderId="69" xfId="0" applyNumberFormat="1" applyFont="1" applyFill="1" applyBorder="1"/>
    <xf numFmtId="176" fontId="6" fillId="8" borderId="65" xfId="0" applyNumberFormat="1" applyFont="1" applyFill="1" applyBorder="1"/>
    <xf numFmtId="177" fontId="6" fillId="9" borderId="88" xfId="0" applyNumberFormat="1" applyFont="1" applyFill="1" applyBorder="1"/>
    <xf numFmtId="176" fontId="6" fillId="9" borderId="55" xfId="0" applyNumberFormat="1" applyFont="1" applyFill="1" applyBorder="1"/>
    <xf numFmtId="0" fontId="6" fillId="9" borderId="55" xfId="0" applyFont="1" applyFill="1" applyBorder="1"/>
    <xf numFmtId="0" fontId="6" fillId="9" borderId="89" xfId="0" applyFont="1" applyFill="1" applyBorder="1"/>
    <xf numFmtId="178" fontId="6" fillId="9" borderId="88" xfId="0" applyNumberFormat="1" applyFont="1" applyFill="1" applyBorder="1"/>
    <xf numFmtId="0" fontId="6" fillId="0" borderId="89" xfId="0" applyFont="1" applyBorder="1"/>
    <xf numFmtId="176" fontId="6" fillId="0" borderId="88" xfId="0" applyNumberFormat="1" applyFont="1" applyBorder="1"/>
    <xf numFmtId="176" fontId="6" fillId="0" borderId="89" xfId="0" applyNumberFormat="1" applyFont="1" applyBorder="1"/>
    <xf numFmtId="177" fontId="6" fillId="0" borderId="88" xfId="0" applyNumberFormat="1" applyFont="1" applyFill="1" applyBorder="1"/>
    <xf numFmtId="0" fontId="6" fillId="0" borderId="55" xfId="0" applyFont="1" applyFill="1" applyBorder="1"/>
    <xf numFmtId="0" fontId="6" fillId="0" borderId="89" xfId="0" applyFont="1" applyFill="1" applyBorder="1"/>
    <xf numFmtId="178" fontId="6" fillId="0" borderId="88" xfId="0" applyNumberFormat="1" applyFont="1" applyFill="1" applyBorder="1"/>
    <xf numFmtId="177" fontId="6" fillId="10" borderId="79" xfId="0" applyNumberFormat="1" applyFont="1" applyFill="1" applyBorder="1"/>
    <xf numFmtId="176" fontId="6" fillId="10" borderId="79" xfId="0" applyNumberFormat="1" applyFont="1" applyFill="1" applyBorder="1"/>
    <xf numFmtId="177" fontId="6" fillId="10" borderId="17" xfId="0" applyNumberFormat="1" applyFont="1" applyFill="1" applyBorder="1"/>
    <xf numFmtId="176" fontId="6" fillId="10" borderId="17" xfId="0" applyNumberFormat="1" applyFont="1" applyFill="1" applyBorder="1"/>
    <xf numFmtId="177" fontId="6" fillId="10" borderId="58" xfId="0" applyNumberFormat="1" applyFont="1" applyFill="1" applyBorder="1"/>
    <xf numFmtId="176" fontId="6" fillId="10" borderId="58" xfId="0" applyNumberFormat="1" applyFont="1" applyFill="1" applyBorder="1"/>
    <xf numFmtId="176" fontId="6" fillId="0" borderId="14" xfId="0" applyNumberFormat="1" applyFont="1" applyBorder="1" applyAlignment="1">
      <alignment horizontal="center"/>
    </xf>
    <xf numFmtId="176" fontId="6" fillId="0" borderId="1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/>
    </xf>
    <xf numFmtId="178" fontId="6" fillId="0" borderId="24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72" xfId="0" applyFont="1" applyBorder="1" applyAlignment="1">
      <alignment horizontal="center"/>
    </xf>
    <xf numFmtId="0" fontId="6" fillId="0" borderId="73" xfId="0" applyFont="1" applyBorder="1" applyAlignment="1">
      <alignment horizontal="center"/>
    </xf>
    <xf numFmtId="0" fontId="6" fillId="0" borderId="72" xfId="0" applyFont="1" applyBorder="1" applyAlignment="1">
      <alignment horizontal="center" vertical="center" shrinkToFit="1"/>
    </xf>
    <xf numFmtId="0" fontId="6" fillId="0" borderId="73" xfId="0" applyFont="1" applyBorder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/>
    </xf>
    <xf numFmtId="176" fontId="6" fillId="0" borderId="12" xfId="0" applyNumberFormat="1" applyFont="1" applyBorder="1" applyAlignment="1">
      <alignment horizontal="center"/>
    </xf>
    <xf numFmtId="176" fontId="6" fillId="0" borderId="15" xfId="0" applyNumberFormat="1" applyFont="1" applyBorder="1" applyAlignment="1">
      <alignment horizontal="center"/>
    </xf>
    <xf numFmtId="176" fontId="6" fillId="2" borderId="16" xfId="0" applyNumberFormat="1" applyFont="1" applyFill="1" applyBorder="1" applyAlignment="1">
      <alignment horizontal="center"/>
    </xf>
    <xf numFmtId="176" fontId="6" fillId="2" borderId="17" xfId="0" applyNumberFormat="1" applyFont="1" applyFill="1" applyBorder="1" applyAlignment="1">
      <alignment horizontal="center"/>
    </xf>
    <xf numFmtId="177" fontId="6" fillId="2" borderId="17" xfId="0" applyNumberFormat="1" applyFont="1" applyFill="1" applyBorder="1" applyAlignment="1">
      <alignment horizontal="center"/>
    </xf>
    <xf numFmtId="177" fontId="6" fillId="2" borderId="18" xfId="0" applyNumberFormat="1" applyFont="1" applyFill="1" applyBorder="1" applyAlignment="1">
      <alignment horizontal="center"/>
    </xf>
    <xf numFmtId="179" fontId="6" fillId="0" borderId="19" xfId="0" applyNumberFormat="1" applyFont="1" applyBorder="1" applyAlignment="1">
      <alignment horizontal="center"/>
    </xf>
    <xf numFmtId="179" fontId="6" fillId="0" borderId="20" xfId="0" applyNumberFormat="1" applyFont="1" applyBorder="1" applyAlignment="1">
      <alignment horizontal="center"/>
    </xf>
    <xf numFmtId="179" fontId="6" fillId="0" borderId="21" xfId="0" applyNumberFormat="1" applyFont="1" applyBorder="1" applyAlignment="1">
      <alignment horizontal="center"/>
    </xf>
    <xf numFmtId="179" fontId="6" fillId="0" borderId="22" xfId="0" applyNumberFormat="1" applyFont="1" applyBorder="1" applyAlignment="1">
      <alignment horizontal="center"/>
    </xf>
    <xf numFmtId="176" fontId="6" fillId="3" borderId="7" xfId="0" applyNumberFormat="1" applyFont="1" applyFill="1" applyBorder="1" applyAlignment="1">
      <alignment horizontal="center"/>
    </xf>
    <xf numFmtId="179" fontId="6" fillId="0" borderId="23" xfId="0" applyNumberFormat="1" applyFont="1" applyBorder="1" applyAlignment="1">
      <alignment horizontal="center"/>
    </xf>
    <xf numFmtId="176" fontId="6" fillId="0" borderId="24" xfId="0" applyNumberFormat="1" applyFont="1" applyBorder="1" applyAlignment="1">
      <alignment horizontal="center"/>
    </xf>
    <xf numFmtId="176" fontId="6" fillId="4" borderId="7" xfId="0" applyNumberFormat="1" applyFont="1" applyFill="1" applyBorder="1" applyAlignment="1">
      <alignment horizontal="center"/>
    </xf>
    <xf numFmtId="176" fontId="6" fillId="5" borderId="7" xfId="0" applyNumberFormat="1" applyFont="1" applyFill="1" applyBorder="1" applyAlignment="1">
      <alignment horizontal="center"/>
    </xf>
    <xf numFmtId="177" fontId="6" fillId="0" borderId="13" xfId="0" applyNumberFormat="1" applyFont="1" applyBorder="1" applyAlignment="1">
      <alignment horizontal="center"/>
    </xf>
    <xf numFmtId="177" fontId="6" fillId="7" borderId="14" xfId="0" applyNumberFormat="1" applyFont="1" applyFill="1" applyBorder="1" applyAlignment="1">
      <alignment horizontal="center"/>
    </xf>
    <xf numFmtId="177" fontId="6" fillId="0" borderId="14" xfId="0" applyNumberFormat="1" applyFont="1" applyBorder="1" applyAlignment="1">
      <alignment horizontal="center"/>
    </xf>
    <xf numFmtId="176" fontId="6" fillId="0" borderId="26" xfId="0" applyNumberFormat="1" applyFont="1" applyBorder="1" applyAlignment="1">
      <alignment horizontal="center"/>
    </xf>
    <xf numFmtId="176" fontId="6" fillId="7" borderId="14" xfId="0" applyNumberFormat="1" applyFont="1" applyFill="1" applyBorder="1" applyAlignment="1">
      <alignment horizontal="center"/>
    </xf>
    <xf numFmtId="176" fontId="6" fillId="7" borderId="13" xfId="0" applyNumberFormat="1" applyFont="1" applyFill="1" applyBorder="1" applyAlignment="1">
      <alignment horizontal="center"/>
    </xf>
    <xf numFmtId="176" fontId="6" fillId="7" borderId="27" xfId="0" applyNumberFormat="1" applyFont="1" applyFill="1" applyBorder="1" applyAlignment="1">
      <alignment horizontal="center"/>
    </xf>
    <xf numFmtId="176" fontId="6" fillId="6" borderId="7" xfId="0" applyNumberFormat="1" applyFont="1" applyFill="1" applyBorder="1" applyAlignment="1">
      <alignment horizontal="center"/>
    </xf>
    <xf numFmtId="176" fontId="6" fillId="0" borderId="28" xfId="0" applyNumberFormat="1" applyFont="1" applyFill="1" applyBorder="1" applyAlignment="1">
      <alignment horizontal="center"/>
    </xf>
    <xf numFmtId="176" fontId="6" fillId="0" borderId="15" xfId="0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center"/>
    </xf>
    <xf numFmtId="176" fontId="6" fillId="0" borderId="12" xfId="0" applyNumberFormat="1" applyFont="1" applyFill="1" applyBorder="1" applyAlignment="1">
      <alignment horizontal="center"/>
    </xf>
    <xf numFmtId="176" fontId="6" fillId="0" borderId="13" xfId="0" applyNumberFormat="1" applyFont="1" applyFill="1" applyBorder="1" applyAlignment="1">
      <alignment horizontal="center"/>
    </xf>
    <xf numFmtId="176" fontId="6" fillId="0" borderId="29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78" fontId="6" fillId="0" borderId="0" xfId="0" applyNumberFormat="1" applyFont="1" applyAlignment="1">
      <alignment horizontal="center"/>
    </xf>
    <xf numFmtId="0" fontId="5" fillId="0" borderId="0" xfId="0" applyFont="1" applyAlignment="1"/>
    <xf numFmtId="179" fontId="6" fillId="0" borderId="11" xfId="0" applyNumberFormat="1" applyFont="1" applyBorder="1" applyAlignment="1">
      <alignment horizontal="center"/>
    </xf>
    <xf numFmtId="179" fontId="6" fillId="0" borderId="13" xfId="0" applyNumberFormat="1" applyFont="1" applyBorder="1" applyAlignment="1">
      <alignment horizontal="center"/>
    </xf>
    <xf numFmtId="179" fontId="6" fillId="0" borderId="14" xfId="0" applyNumberFormat="1" applyFont="1" applyBorder="1" applyAlignment="1">
      <alignment horizontal="center"/>
    </xf>
    <xf numFmtId="179" fontId="6" fillId="0" borderId="12" xfId="0" applyNumberFormat="1" applyFont="1" applyBorder="1" applyAlignment="1">
      <alignment horizontal="center"/>
    </xf>
    <xf numFmtId="179" fontId="6" fillId="0" borderId="15" xfId="0" applyNumberFormat="1" applyFont="1" applyBorder="1" applyAlignment="1">
      <alignment horizontal="center"/>
    </xf>
    <xf numFmtId="179" fontId="6" fillId="2" borderId="16" xfId="0" applyNumberFormat="1" applyFont="1" applyFill="1" applyBorder="1" applyAlignment="1">
      <alignment horizontal="center"/>
    </xf>
    <xf numFmtId="179" fontId="6" fillId="2" borderId="17" xfId="0" applyNumberFormat="1" applyFont="1" applyFill="1" applyBorder="1" applyAlignment="1">
      <alignment horizontal="center"/>
    </xf>
    <xf numFmtId="179" fontId="6" fillId="2" borderId="18" xfId="0" applyNumberFormat="1" applyFont="1" applyFill="1" applyBorder="1" applyAlignment="1">
      <alignment horizontal="center"/>
    </xf>
    <xf numFmtId="179" fontId="6" fillId="3" borderId="7" xfId="0" applyNumberFormat="1" applyFont="1" applyFill="1" applyBorder="1" applyAlignment="1">
      <alignment horizontal="center"/>
    </xf>
    <xf numFmtId="179" fontId="6" fillId="0" borderId="32" xfId="0" applyNumberFormat="1" applyFont="1" applyBorder="1" applyAlignment="1">
      <alignment horizontal="center"/>
    </xf>
    <xf numFmtId="179" fontId="6" fillId="4" borderId="7" xfId="0" applyNumberFormat="1" applyFont="1" applyFill="1" applyBorder="1" applyAlignment="1">
      <alignment horizontal="center"/>
    </xf>
    <xf numFmtId="179" fontId="6" fillId="5" borderId="7" xfId="0" applyNumberFormat="1" applyFont="1" applyFill="1" applyBorder="1" applyAlignment="1">
      <alignment horizontal="center"/>
    </xf>
    <xf numFmtId="179" fontId="6" fillId="0" borderId="35" xfId="0" applyNumberFormat="1" applyFont="1" applyBorder="1" applyAlignment="1">
      <alignment horizontal="center"/>
    </xf>
    <xf numFmtId="179" fontId="6" fillId="0" borderId="36" xfId="0" applyNumberFormat="1" applyFont="1" applyBorder="1" applyAlignment="1">
      <alignment horizontal="center"/>
    </xf>
    <xf numFmtId="179" fontId="6" fillId="0" borderId="14" xfId="0" applyNumberFormat="1" applyFont="1" applyBorder="1" applyAlignment="1"/>
    <xf numFmtId="179" fontId="6" fillId="6" borderId="7" xfId="0" applyNumberFormat="1" applyFont="1" applyFill="1" applyBorder="1" applyAlignment="1">
      <alignment horizontal="center"/>
    </xf>
    <xf numFmtId="179" fontId="6" fillId="0" borderId="28" xfId="0" applyNumberFormat="1" applyFont="1" applyBorder="1" applyAlignment="1">
      <alignment horizontal="center"/>
    </xf>
    <xf numFmtId="179" fontId="6" fillId="0" borderId="29" xfId="0" applyNumberFormat="1" applyFont="1" applyBorder="1" applyAlignment="1">
      <alignment horizontal="center"/>
    </xf>
    <xf numFmtId="179" fontId="6" fillId="0" borderId="37" xfId="0" applyNumberFormat="1" applyFont="1" applyBorder="1" applyAlignment="1">
      <alignment horizontal="center"/>
    </xf>
    <xf numFmtId="179" fontId="6" fillId="0" borderId="39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179" fontId="6" fillId="0" borderId="3" xfId="0" applyNumberFormat="1" applyFont="1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82" fontId="6" fillId="0" borderId="8" xfId="0" applyNumberFormat="1" applyFont="1" applyBorder="1" applyAlignment="1">
      <alignment horizontal="right"/>
    </xf>
    <xf numFmtId="182" fontId="6" fillId="0" borderId="0" xfId="0" applyNumberFormat="1" applyFont="1" applyBorder="1" applyAlignment="1">
      <alignment horizontal="right"/>
    </xf>
    <xf numFmtId="182" fontId="6" fillId="0" borderId="55" xfId="0" applyNumberFormat="1" applyFont="1" applyBorder="1" applyAlignment="1">
      <alignment horizontal="right"/>
    </xf>
    <xf numFmtId="179" fontId="6" fillId="0" borderId="42" xfId="0" applyNumberFormat="1" applyFont="1" applyBorder="1" applyAlignment="1">
      <alignment horizontal="center"/>
    </xf>
    <xf numFmtId="179" fontId="6" fillId="0" borderId="40" xfId="0" applyNumberFormat="1" applyFont="1" applyBorder="1" applyAlignment="1">
      <alignment horizontal="center"/>
    </xf>
    <xf numFmtId="179" fontId="6" fillId="0" borderId="45" xfId="0" applyNumberFormat="1" applyFont="1" applyBorder="1" applyAlignment="1">
      <alignment horizontal="center"/>
    </xf>
    <xf numFmtId="176" fontId="6" fillId="0" borderId="71" xfId="0" applyNumberFormat="1" applyFont="1" applyBorder="1" applyAlignment="1">
      <alignment horizontal="center" shrinkToFit="1"/>
    </xf>
    <xf numFmtId="176" fontId="6" fillId="0" borderId="87" xfId="0" applyNumberFormat="1" applyFont="1" applyFill="1" applyBorder="1"/>
    <xf numFmtId="176" fontId="6" fillId="0" borderId="71" xfId="0" applyNumberFormat="1" applyFont="1" applyFill="1" applyBorder="1"/>
    <xf numFmtId="182" fontId="6" fillId="0" borderId="0" xfId="0" applyNumberFormat="1" applyFont="1" applyFill="1" applyBorder="1" applyAlignment="1">
      <alignment horizontal="right"/>
    </xf>
    <xf numFmtId="176" fontId="6" fillId="2" borderId="90" xfId="0" applyNumberFormat="1" applyFont="1" applyFill="1" applyBorder="1" applyAlignment="1">
      <alignment horizontal="center" shrinkToFit="1"/>
    </xf>
    <xf numFmtId="179" fontId="8" fillId="0" borderId="20" xfId="0" applyNumberFormat="1" applyFont="1" applyBorder="1" applyAlignment="1">
      <alignment horizontal="center"/>
    </xf>
    <xf numFmtId="176" fontId="8" fillId="0" borderId="12" xfId="0" applyNumberFormat="1" applyFont="1" applyBorder="1" applyAlignment="1">
      <alignment horizontal="center"/>
    </xf>
    <xf numFmtId="179" fontId="8" fillId="0" borderId="40" xfId="0" applyNumberFormat="1" applyFont="1" applyBorder="1" applyAlignment="1">
      <alignment horizontal="center"/>
    </xf>
    <xf numFmtId="180" fontId="8" fillId="0" borderId="40" xfId="0" applyNumberFormat="1" applyFont="1" applyBorder="1" applyAlignment="1">
      <alignment horizontal="center" shrinkToFit="1"/>
    </xf>
    <xf numFmtId="176" fontId="8" fillId="0" borderId="14" xfId="0" applyNumberFormat="1" applyFont="1" applyBorder="1" applyAlignment="1">
      <alignment horizontal="center"/>
    </xf>
    <xf numFmtId="179" fontId="8" fillId="0" borderId="14" xfId="0" applyNumberFormat="1" applyFont="1" applyBorder="1" applyAlignment="1">
      <alignment horizontal="center"/>
    </xf>
    <xf numFmtId="181" fontId="8" fillId="0" borderId="15" xfId="0" applyNumberFormat="1" applyFont="1" applyBorder="1" applyAlignment="1">
      <alignment horizontal="center" shrinkToFit="1"/>
    </xf>
    <xf numFmtId="179" fontId="8" fillId="0" borderId="42" xfId="0" applyNumberFormat="1" applyFont="1" applyBorder="1" applyAlignment="1">
      <alignment horizontal="center"/>
    </xf>
    <xf numFmtId="180" fontId="8" fillId="0" borderId="42" xfId="0" applyNumberFormat="1" applyFont="1" applyBorder="1" applyAlignment="1">
      <alignment horizontal="center" shrinkToFit="1"/>
    </xf>
    <xf numFmtId="176" fontId="8" fillId="0" borderId="15" xfId="0" applyNumberFormat="1" applyFont="1" applyBorder="1" applyAlignment="1">
      <alignment horizontal="center"/>
    </xf>
    <xf numFmtId="180" fontId="8" fillId="0" borderId="15" xfId="0" applyNumberFormat="1" applyFont="1" applyBorder="1" applyAlignment="1">
      <alignment horizontal="center" shrinkToFit="1"/>
    </xf>
    <xf numFmtId="176" fontId="8" fillId="0" borderId="13" xfId="0" applyNumberFormat="1" applyFont="1" applyBorder="1" applyAlignment="1">
      <alignment horizontal="center"/>
    </xf>
    <xf numFmtId="179" fontId="8" fillId="0" borderId="13" xfId="0" applyNumberFormat="1" applyFont="1" applyBorder="1" applyAlignment="1">
      <alignment horizontal="center"/>
    </xf>
    <xf numFmtId="181" fontId="8" fillId="0" borderId="42" xfId="0" applyNumberFormat="1" applyFont="1" applyBorder="1" applyAlignment="1">
      <alignment horizontal="center" shrinkToFit="1"/>
    </xf>
    <xf numFmtId="179" fontId="8" fillId="0" borderId="12" xfId="0" applyNumberFormat="1" applyFont="1" applyBorder="1" applyAlignment="1">
      <alignment horizontal="center"/>
    </xf>
    <xf numFmtId="180" fontId="8" fillId="0" borderId="41" xfId="0" applyNumberFormat="1" applyFont="1" applyBorder="1" applyAlignment="1">
      <alignment horizontal="center" shrinkToFit="1"/>
    </xf>
    <xf numFmtId="179" fontId="8" fillId="0" borderId="30" xfId="0" applyNumberFormat="1" applyFont="1" applyBorder="1" applyAlignment="1">
      <alignment horizontal="center"/>
    </xf>
    <xf numFmtId="180" fontId="8" fillId="0" borderId="12" xfId="0" applyNumberFormat="1" applyFont="1" applyBorder="1" applyAlignment="1">
      <alignment horizontal="center" shrinkToFit="1"/>
    </xf>
    <xf numFmtId="181" fontId="8" fillId="0" borderId="43" xfId="0" applyNumberFormat="1" applyFont="1" applyBorder="1" applyAlignment="1">
      <alignment horizontal="center" shrinkToFit="1"/>
    </xf>
    <xf numFmtId="180" fontId="8" fillId="0" borderId="43" xfId="0" applyNumberFormat="1" applyFont="1" applyBorder="1" applyAlignment="1">
      <alignment horizontal="center" shrinkToFit="1"/>
    </xf>
    <xf numFmtId="179" fontId="8" fillId="0" borderId="15" xfId="0" applyNumberFormat="1" applyFont="1" applyBorder="1" applyAlignment="1">
      <alignment horizontal="center"/>
    </xf>
    <xf numFmtId="180" fontId="8" fillId="0" borderId="27" xfId="0" applyNumberFormat="1" applyFont="1" applyBorder="1" applyAlignment="1">
      <alignment horizontal="center" shrinkToFit="1"/>
    </xf>
    <xf numFmtId="176" fontId="8" fillId="0" borderId="15" xfId="0" applyNumberFormat="1" applyFont="1" applyFill="1" applyBorder="1" applyAlignment="1"/>
    <xf numFmtId="180" fontId="8" fillId="0" borderId="48" xfId="0" applyNumberFormat="1" applyFont="1" applyBorder="1" applyAlignment="1">
      <alignment horizontal="center" shrinkToFit="1"/>
    </xf>
    <xf numFmtId="180" fontId="8" fillId="0" borderId="14" xfId="0" applyNumberFormat="1" applyFont="1" applyBorder="1" applyAlignment="1">
      <alignment horizontal="center" shrinkToFit="1"/>
    </xf>
    <xf numFmtId="179" fontId="8" fillId="0" borderId="27" xfId="0" applyNumberFormat="1" applyFont="1" applyBorder="1" applyAlignment="1">
      <alignment horizontal="center"/>
    </xf>
    <xf numFmtId="177" fontId="8" fillId="0" borderId="11" xfId="0" applyNumberFormat="1" applyFont="1" applyBorder="1" applyAlignment="1">
      <alignment horizontal="center"/>
    </xf>
    <xf numFmtId="177" fontId="8" fillId="0" borderId="12" xfId="0" applyNumberFormat="1" applyFont="1" applyBorder="1" applyAlignment="1">
      <alignment horizontal="center"/>
    </xf>
    <xf numFmtId="179" fontId="8" fillId="0" borderId="33" xfId="0" applyNumberFormat="1" applyFont="1" applyBorder="1" applyAlignment="1">
      <alignment horizontal="center"/>
    </xf>
    <xf numFmtId="179" fontId="8" fillId="0" borderId="34" xfId="0" applyNumberFormat="1" applyFont="1" applyBorder="1" applyAlignment="1">
      <alignment horizontal="center"/>
    </xf>
    <xf numFmtId="177" fontId="8" fillId="7" borderId="13" xfId="0" applyNumberFormat="1" applyFont="1" applyFill="1" applyBorder="1" applyAlignment="1">
      <alignment horizontal="center"/>
    </xf>
    <xf numFmtId="179" fontId="8" fillId="0" borderId="35" xfId="0" applyNumberFormat="1" applyFont="1" applyBorder="1" applyAlignment="1">
      <alignment horizontal="center"/>
    </xf>
    <xf numFmtId="177" fontId="8" fillId="7" borderId="14" xfId="0" applyNumberFormat="1" applyFont="1" applyFill="1" applyBorder="1" applyAlignment="1">
      <alignment horizontal="center"/>
    </xf>
    <xf numFmtId="179" fontId="8" fillId="0" borderId="36" xfId="0" applyNumberFormat="1" applyFont="1" applyBorder="1" applyAlignment="1">
      <alignment horizontal="center"/>
    </xf>
    <xf numFmtId="176" fontId="8" fillId="7" borderId="25" xfId="0" applyNumberFormat="1" applyFont="1" applyFill="1" applyBorder="1" applyAlignment="1">
      <alignment horizontal="center"/>
    </xf>
    <xf numFmtId="179" fontId="8" fillId="0" borderId="21" xfId="0" applyNumberFormat="1" applyFont="1" applyBorder="1" applyAlignment="1">
      <alignment horizontal="center"/>
    </xf>
    <xf numFmtId="176" fontId="8" fillId="0" borderId="24" xfId="0" applyNumberFormat="1" applyFont="1" applyBorder="1" applyAlignment="1">
      <alignment horizontal="center"/>
    </xf>
    <xf numFmtId="179" fontId="8" fillId="0" borderId="22" xfId="0" applyNumberFormat="1" applyFont="1" applyBorder="1" applyAlignment="1">
      <alignment horizontal="center"/>
    </xf>
  </cellXfs>
  <cellStyles count="2">
    <cellStyle name="10 細い枠線" xfId="1" xr:uid="{DBC5573E-6414-43C7-887E-755F567E23DE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zoomScale="143" workbookViewId="0">
      <selection activeCell="D11" sqref="D11"/>
    </sheetView>
  </sheetViews>
  <sheetFormatPr defaultRowHeight="18.75"/>
  <cols>
    <col min="1" max="1" width="8.125" bestFit="1" customWidth="1"/>
    <col min="2" max="2" width="20.125" bestFit="1" customWidth="1"/>
    <col min="3" max="5" width="11.375" bestFit="1" customWidth="1"/>
    <col min="6" max="6" width="8.125" bestFit="1" customWidth="1"/>
    <col min="7" max="7" width="20.125" bestFit="1" customWidth="1"/>
    <col min="8" max="10" width="11.375" bestFit="1" customWidth="1"/>
    <col min="11" max="11" width="8.125" bestFit="1" customWidth="1"/>
    <col min="12" max="12" width="20.125" bestFit="1" customWidth="1"/>
    <col min="13" max="15" width="11.375" bestFit="1" customWidth="1"/>
  </cols>
  <sheetData>
    <row r="1" spans="1:15">
      <c r="A1" s="1" t="s">
        <v>0</v>
      </c>
      <c r="B1" s="2"/>
      <c r="C1" s="2"/>
      <c r="D1" s="2"/>
      <c r="E1" s="3"/>
      <c r="F1" s="1" t="s">
        <v>24</v>
      </c>
      <c r="G1" s="2"/>
      <c r="H1" s="2"/>
      <c r="I1" s="2"/>
      <c r="J1" s="3"/>
      <c r="K1" s="1" t="s">
        <v>25</v>
      </c>
      <c r="L1" s="2"/>
      <c r="M1" s="2"/>
      <c r="N1" s="2"/>
      <c r="O1" s="3"/>
    </row>
    <row r="2" spans="1:1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4" t="s">
        <v>1</v>
      </c>
      <c r="G2" s="5" t="s">
        <v>2</v>
      </c>
      <c r="H2" s="5" t="s">
        <v>3</v>
      </c>
      <c r="I2" s="5" t="s">
        <v>4</v>
      </c>
      <c r="J2" s="6" t="s">
        <v>5</v>
      </c>
      <c r="K2" s="4" t="s">
        <v>1</v>
      </c>
      <c r="L2" s="5" t="s">
        <v>2</v>
      </c>
      <c r="M2" s="5" t="s">
        <v>3</v>
      </c>
      <c r="N2" s="5" t="s">
        <v>4</v>
      </c>
      <c r="O2" s="6" t="s">
        <v>5</v>
      </c>
    </row>
    <row r="3" spans="1:15">
      <c r="A3" s="4" t="s">
        <v>6</v>
      </c>
      <c r="B3" s="5" t="s">
        <v>7</v>
      </c>
      <c r="C3" s="7">
        <v>42630</v>
      </c>
      <c r="D3" s="7">
        <v>42762</v>
      </c>
      <c r="E3" s="8">
        <v>42973</v>
      </c>
      <c r="F3" s="4"/>
      <c r="G3" s="5"/>
      <c r="H3" s="5"/>
      <c r="I3" s="5"/>
      <c r="J3" s="6"/>
      <c r="K3" s="4" t="s">
        <v>14</v>
      </c>
      <c r="L3" s="5" t="s">
        <v>15</v>
      </c>
      <c r="M3" s="7">
        <v>42676</v>
      </c>
      <c r="N3" s="7">
        <v>42867</v>
      </c>
      <c r="O3" s="8">
        <v>43004</v>
      </c>
    </row>
    <row r="4" spans="1:15">
      <c r="A4" s="4" t="s">
        <v>8</v>
      </c>
      <c r="B4" s="5" t="s">
        <v>9</v>
      </c>
      <c r="C4" s="7">
        <v>42763</v>
      </c>
      <c r="D4" s="7">
        <v>42878</v>
      </c>
      <c r="E4" s="8">
        <v>42956</v>
      </c>
      <c r="F4" s="4" t="s">
        <v>10</v>
      </c>
      <c r="G4" s="5" t="s">
        <v>11</v>
      </c>
      <c r="H4" s="7">
        <v>42697</v>
      </c>
      <c r="I4" s="7">
        <v>42836</v>
      </c>
      <c r="J4" s="8">
        <v>43033</v>
      </c>
      <c r="K4" s="4" t="s">
        <v>16</v>
      </c>
      <c r="L4" s="5" t="s">
        <v>17</v>
      </c>
      <c r="M4" s="7">
        <v>42777</v>
      </c>
      <c r="N4" s="7">
        <v>42954</v>
      </c>
      <c r="O4" s="8">
        <v>43096</v>
      </c>
    </row>
    <row r="5" spans="1:15">
      <c r="A5" s="4" t="s">
        <v>19</v>
      </c>
      <c r="B5" s="5" t="s">
        <v>20</v>
      </c>
      <c r="C5" s="7">
        <v>42879</v>
      </c>
      <c r="D5" s="7">
        <v>42985</v>
      </c>
      <c r="E5" s="8">
        <v>43111</v>
      </c>
      <c r="F5" s="4" t="s">
        <v>12</v>
      </c>
      <c r="G5" s="5" t="s">
        <v>13</v>
      </c>
      <c r="H5" s="7">
        <v>42837</v>
      </c>
      <c r="I5" s="7">
        <v>42944</v>
      </c>
      <c r="J5" s="8">
        <v>43119</v>
      </c>
      <c r="K5" s="4" t="s">
        <v>18</v>
      </c>
      <c r="L5" s="5" t="s">
        <v>17</v>
      </c>
      <c r="M5" s="7">
        <v>42868</v>
      </c>
      <c r="N5" s="7">
        <v>43045</v>
      </c>
      <c r="O5" s="8">
        <v>43175</v>
      </c>
    </row>
    <row r="6" spans="1:15">
      <c r="A6" s="4" t="s">
        <v>26</v>
      </c>
      <c r="B6" s="5" t="s">
        <v>20</v>
      </c>
      <c r="C6" s="7">
        <v>42986</v>
      </c>
      <c r="D6" s="7">
        <v>43090</v>
      </c>
      <c r="E6" s="8">
        <v>43217</v>
      </c>
      <c r="F6" s="4" t="s">
        <v>21</v>
      </c>
      <c r="G6" s="5" t="s">
        <v>13</v>
      </c>
      <c r="H6" s="7">
        <v>42945</v>
      </c>
      <c r="I6" s="7">
        <v>43056</v>
      </c>
      <c r="J6" s="8">
        <v>43229</v>
      </c>
      <c r="K6" s="4" t="s">
        <v>22</v>
      </c>
      <c r="L6" s="5" t="s">
        <v>23</v>
      </c>
      <c r="M6" s="7">
        <v>42983</v>
      </c>
      <c r="N6" s="7">
        <v>42761</v>
      </c>
      <c r="O6" s="8">
        <v>43214</v>
      </c>
    </row>
    <row r="7" spans="1:15">
      <c r="A7" s="4"/>
      <c r="B7" s="5"/>
      <c r="C7" s="5"/>
      <c r="D7" s="5"/>
      <c r="E7" s="6"/>
      <c r="F7" s="4" t="s">
        <v>27</v>
      </c>
      <c r="G7" s="5" t="s">
        <v>38</v>
      </c>
      <c r="H7" s="7">
        <v>43057</v>
      </c>
      <c r="I7" s="7">
        <v>43164</v>
      </c>
      <c r="J7" s="8">
        <v>43336</v>
      </c>
      <c r="K7" s="4" t="s">
        <v>29</v>
      </c>
      <c r="L7" s="5" t="s">
        <v>38</v>
      </c>
      <c r="M7" s="7">
        <v>43046</v>
      </c>
      <c r="N7" s="7">
        <v>43187</v>
      </c>
      <c r="O7" s="8">
        <v>43307</v>
      </c>
    </row>
    <row r="8" spans="1:15">
      <c r="A8" s="9" t="s">
        <v>28</v>
      </c>
      <c r="B8" s="5" t="s">
        <v>9</v>
      </c>
      <c r="C8" s="7">
        <v>43091</v>
      </c>
      <c r="D8" s="7">
        <v>43203</v>
      </c>
      <c r="E8" s="8">
        <v>43280</v>
      </c>
      <c r="F8" s="4"/>
      <c r="G8" s="5"/>
      <c r="H8" s="5"/>
      <c r="I8" s="5"/>
      <c r="J8" s="6"/>
      <c r="K8" s="4" t="s">
        <v>30</v>
      </c>
      <c r="L8" s="10" t="s">
        <v>41</v>
      </c>
      <c r="M8" s="7">
        <v>43127</v>
      </c>
      <c r="N8" s="7">
        <v>43249</v>
      </c>
      <c r="O8" s="8">
        <v>43390</v>
      </c>
    </row>
    <row r="9" spans="1:15">
      <c r="A9" s="4"/>
      <c r="B9" s="5"/>
      <c r="C9" s="5"/>
      <c r="D9" s="5"/>
      <c r="E9" s="6"/>
      <c r="F9" s="4" t="s">
        <v>32</v>
      </c>
      <c r="G9" s="5" t="s">
        <v>38</v>
      </c>
      <c r="H9" s="7">
        <v>43165</v>
      </c>
      <c r="I9" s="7">
        <v>43273</v>
      </c>
      <c r="J9" s="8">
        <v>43447</v>
      </c>
      <c r="K9" s="4" t="s">
        <v>33</v>
      </c>
      <c r="L9" s="10" t="s">
        <v>41</v>
      </c>
      <c r="M9" s="7">
        <v>43188</v>
      </c>
      <c r="N9" s="7">
        <v>43312</v>
      </c>
      <c r="O9" s="8">
        <v>43494</v>
      </c>
    </row>
    <row r="10" spans="1:15">
      <c r="A10" s="4" t="s">
        <v>31</v>
      </c>
      <c r="B10" s="5" t="s">
        <v>20</v>
      </c>
      <c r="C10" s="7">
        <v>43204</v>
      </c>
      <c r="D10" s="7">
        <v>43320</v>
      </c>
      <c r="E10" s="8">
        <v>43434</v>
      </c>
      <c r="F10" s="4"/>
      <c r="G10" s="5"/>
      <c r="H10" s="5"/>
      <c r="I10" s="5"/>
      <c r="J10" s="6"/>
      <c r="K10" s="4" t="s">
        <v>42</v>
      </c>
      <c r="L10" s="5" t="s">
        <v>38</v>
      </c>
      <c r="M10" s="7">
        <v>43250</v>
      </c>
      <c r="N10" s="7">
        <v>43384</v>
      </c>
      <c r="O10" s="8">
        <v>43523</v>
      </c>
    </row>
    <row r="11" spans="1:15">
      <c r="A11" s="4" t="s">
        <v>34</v>
      </c>
      <c r="B11" s="10" t="s">
        <v>35</v>
      </c>
      <c r="C11" s="7">
        <v>43321</v>
      </c>
      <c r="D11" s="7">
        <v>43439</v>
      </c>
      <c r="E11" s="8">
        <v>43601</v>
      </c>
      <c r="F11" s="4" t="s">
        <v>36</v>
      </c>
      <c r="G11" s="10" t="s">
        <v>37</v>
      </c>
      <c r="H11" s="7">
        <v>43274</v>
      </c>
      <c r="I11" s="7">
        <v>43396</v>
      </c>
      <c r="J11" s="8">
        <v>43558</v>
      </c>
      <c r="K11" s="4" t="s">
        <v>43</v>
      </c>
      <c r="L11" s="10" t="s">
        <v>41</v>
      </c>
      <c r="M11" s="7">
        <v>43313</v>
      </c>
      <c r="N11" s="7">
        <v>43453</v>
      </c>
      <c r="O11" s="8">
        <v>43643</v>
      </c>
    </row>
    <row r="12" spans="1:15">
      <c r="A12" s="4"/>
      <c r="B12" s="5"/>
      <c r="C12" s="5"/>
      <c r="D12" s="5"/>
      <c r="E12" s="6"/>
      <c r="F12" s="4" t="s">
        <v>39</v>
      </c>
      <c r="G12" s="10" t="s">
        <v>37</v>
      </c>
      <c r="H12" s="7">
        <v>43397</v>
      </c>
      <c r="I12" s="7">
        <v>43502</v>
      </c>
      <c r="J12" s="8">
        <v>43684</v>
      </c>
      <c r="K12" s="4" t="s">
        <v>44</v>
      </c>
      <c r="L12" s="10" t="s">
        <v>23</v>
      </c>
      <c r="M12" s="7">
        <v>43385</v>
      </c>
      <c r="N12" s="7">
        <v>43507</v>
      </c>
      <c r="O12" s="8">
        <v>43594</v>
      </c>
    </row>
    <row r="13" spans="1:15">
      <c r="A13" s="4" t="s">
        <v>40</v>
      </c>
      <c r="B13" s="10" t="s">
        <v>35</v>
      </c>
      <c r="C13" s="7">
        <v>43440</v>
      </c>
      <c r="D13" s="7">
        <v>43553</v>
      </c>
      <c r="E13" s="8">
        <v>43713</v>
      </c>
      <c r="F13" s="4"/>
      <c r="G13" s="5"/>
      <c r="H13" s="5"/>
      <c r="I13" s="5"/>
      <c r="J13" s="6"/>
      <c r="K13" s="4" t="s">
        <v>45</v>
      </c>
      <c r="L13" s="10" t="s">
        <v>23</v>
      </c>
      <c r="M13" s="7">
        <v>43454</v>
      </c>
      <c r="N13" s="7">
        <v>43559</v>
      </c>
      <c r="O13" s="8">
        <v>43651</v>
      </c>
    </row>
    <row r="14" spans="1:15">
      <c r="A14" s="4"/>
      <c r="B14" s="5"/>
      <c r="C14" s="5"/>
      <c r="D14" s="5"/>
      <c r="E14" s="6"/>
      <c r="F14" s="4" t="s">
        <v>46</v>
      </c>
      <c r="G14" s="10" t="s">
        <v>47</v>
      </c>
      <c r="H14" s="7">
        <v>43503</v>
      </c>
      <c r="I14" s="7">
        <v>43599</v>
      </c>
      <c r="J14" s="8">
        <v>43700</v>
      </c>
      <c r="K14" s="4" t="s">
        <v>48</v>
      </c>
      <c r="L14" s="10" t="s">
        <v>49</v>
      </c>
      <c r="M14" s="7">
        <v>43508</v>
      </c>
      <c r="N14" s="7">
        <v>43606</v>
      </c>
      <c r="O14" s="8">
        <v>43728</v>
      </c>
    </row>
    <row r="15" spans="1:15">
      <c r="A15" s="4"/>
      <c r="B15" s="5"/>
      <c r="C15" s="5"/>
      <c r="D15" s="5"/>
      <c r="E15" s="6"/>
      <c r="F15" s="4"/>
      <c r="G15" s="5"/>
      <c r="H15" s="5"/>
      <c r="I15" s="5"/>
      <c r="J15" s="6"/>
      <c r="K15" s="4" t="s">
        <v>50</v>
      </c>
      <c r="L15" s="10" t="s">
        <v>23</v>
      </c>
      <c r="M15" s="7">
        <v>43560</v>
      </c>
      <c r="N15" s="7">
        <v>43656</v>
      </c>
      <c r="O15" s="8">
        <v>43754</v>
      </c>
    </row>
    <row r="16" spans="1:15">
      <c r="A16" s="4" t="s">
        <v>51</v>
      </c>
      <c r="B16" s="10" t="s">
        <v>47</v>
      </c>
      <c r="C16" s="7">
        <v>43606</v>
      </c>
      <c r="D16" s="7">
        <v>43675</v>
      </c>
      <c r="E16" s="8">
        <v>43763</v>
      </c>
      <c r="F16" s="4" t="s">
        <v>53</v>
      </c>
      <c r="G16" s="10" t="s">
        <v>54</v>
      </c>
      <c r="H16" s="7">
        <v>43600</v>
      </c>
      <c r="I16" s="7">
        <v>43712</v>
      </c>
      <c r="J16" s="8">
        <v>43879</v>
      </c>
      <c r="K16" s="4" t="s">
        <v>55</v>
      </c>
      <c r="L16" s="10" t="s">
        <v>23</v>
      </c>
      <c r="M16" s="7">
        <v>43607</v>
      </c>
      <c r="N16" s="7">
        <v>43707</v>
      </c>
      <c r="O16" s="8">
        <v>43802</v>
      </c>
    </row>
    <row r="17" spans="1:15">
      <c r="A17" s="4" t="s">
        <v>52</v>
      </c>
      <c r="B17" s="10" t="s">
        <v>47</v>
      </c>
      <c r="C17" s="7">
        <v>43676</v>
      </c>
      <c r="D17" s="7">
        <v>43748</v>
      </c>
      <c r="E17" s="8">
        <v>43845</v>
      </c>
      <c r="F17" s="4"/>
      <c r="G17" s="5"/>
      <c r="H17" s="5"/>
      <c r="I17" s="5"/>
      <c r="J17" s="6"/>
      <c r="K17" s="4" t="s">
        <v>56</v>
      </c>
      <c r="L17" s="10" t="s">
        <v>23</v>
      </c>
      <c r="M17" s="7">
        <v>43657</v>
      </c>
      <c r="N17" s="7">
        <v>43767</v>
      </c>
      <c r="O17" s="8">
        <v>43865</v>
      </c>
    </row>
    <row r="18" spans="1:15">
      <c r="A18" s="4"/>
      <c r="B18" s="5"/>
      <c r="C18" s="5"/>
      <c r="D18" s="5"/>
      <c r="E18" s="6"/>
      <c r="F18" s="4" t="s">
        <v>59</v>
      </c>
      <c r="G18" s="5" t="s">
        <v>54</v>
      </c>
      <c r="H18" s="7">
        <v>43713</v>
      </c>
      <c r="I18" s="7">
        <v>43809</v>
      </c>
      <c r="J18" s="8">
        <v>43978</v>
      </c>
      <c r="K18" s="4" t="s">
        <v>60</v>
      </c>
      <c r="L18" s="5" t="s">
        <v>38</v>
      </c>
      <c r="M18" s="7">
        <v>43708</v>
      </c>
      <c r="N18" s="7">
        <v>43840</v>
      </c>
      <c r="O18" s="8">
        <v>43993</v>
      </c>
    </row>
    <row r="19" spans="1:15">
      <c r="A19" s="4" t="s">
        <v>57</v>
      </c>
      <c r="B19" s="10" t="s">
        <v>58</v>
      </c>
      <c r="C19" s="7">
        <v>43749</v>
      </c>
      <c r="D19" s="7">
        <v>43873</v>
      </c>
      <c r="E19" s="8">
        <v>44012</v>
      </c>
      <c r="F19" s="4" t="s">
        <v>63</v>
      </c>
      <c r="G19" s="10" t="s">
        <v>64</v>
      </c>
      <c r="H19" s="7">
        <v>43810</v>
      </c>
      <c r="I19" s="7">
        <v>43900</v>
      </c>
      <c r="J19" s="8">
        <v>44021</v>
      </c>
      <c r="K19" s="4" t="s">
        <v>61</v>
      </c>
      <c r="L19" s="10" t="s">
        <v>62</v>
      </c>
      <c r="M19" s="7">
        <v>43768</v>
      </c>
      <c r="N19" s="7">
        <v>43923</v>
      </c>
      <c r="O19" s="8">
        <v>44132</v>
      </c>
    </row>
    <row r="20" spans="1:15">
      <c r="A20" s="4"/>
      <c r="B20" s="5"/>
      <c r="C20" s="5"/>
      <c r="D20" s="5"/>
      <c r="E20" s="6"/>
      <c r="F20" s="4"/>
      <c r="G20" s="5"/>
      <c r="H20" s="5"/>
      <c r="I20" s="5"/>
      <c r="J20" s="6"/>
      <c r="K20" s="4" t="s">
        <v>68</v>
      </c>
      <c r="L20" s="10" t="s">
        <v>62</v>
      </c>
      <c r="M20" s="7">
        <v>43841</v>
      </c>
      <c r="N20" s="7">
        <v>43994</v>
      </c>
      <c r="O20" s="8">
        <v>44189</v>
      </c>
    </row>
    <row r="21" spans="1:15">
      <c r="A21" s="4" t="s">
        <v>65</v>
      </c>
      <c r="B21" s="10" t="s">
        <v>47</v>
      </c>
      <c r="C21" s="7">
        <v>43900</v>
      </c>
      <c r="D21" s="7">
        <v>43987</v>
      </c>
      <c r="E21" s="8">
        <v>44097</v>
      </c>
      <c r="F21" s="4" t="s">
        <v>66</v>
      </c>
      <c r="G21" s="10" t="s">
        <v>67</v>
      </c>
      <c r="H21" s="7">
        <v>43901</v>
      </c>
      <c r="I21" s="7">
        <v>44085</v>
      </c>
      <c r="J21" s="8">
        <v>44211</v>
      </c>
      <c r="K21" s="4" t="s">
        <v>72</v>
      </c>
      <c r="L21" s="10" t="s">
        <v>73</v>
      </c>
      <c r="M21" s="7">
        <v>44289</v>
      </c>
      <c r="N21" s="7">
        <v>44415</v>
      </c>
      <c r="O21" s="8">
        <v>44519</v>
      </c>
    </row>
    <row r="22" spans="1:15">
      <c r="A22" s="4" t="s">
        <v>69</v>
      </c>
      <c r="B22" s="10" t="s">
        <v>70</v>
      </c>
      <c r="C22" s="7">
        <v>43988</v>
      </c>
      <c r="D22" s="7">
        <v>44133</v>
      </c>
      <c r="E22" s="8">
        <v>44274</v>
      </c>
      <c r="F22" s="4"/>
      <c r="G22" s="5"/>
      <c r="H22" s="5"/>
      <c r="I22" s="5"/>
      <c r="J22" s="6"/>
      <c r="K22" s="4" t="s">
        <v>74</v>
      </c>
      <c r="L22" s="10" t="s">
        <v>73</v>
      </c>
      <c r="M22" s="7">
        <v>44360</v>
      </c>
      <c r="N22" s="7">
        <v>44481</v>
      </c>
      <c r="O22" s="8">
        <v>44608</v>
      </c>
    </row>
    <row r="23" spans="1:15">
      <c r="A23" s="4"/>
      <c r="B23" s="5"/>
      <c r="C23" s="5"/>
      <c r="D23" s="5"/>
      <c r="E23" s="6"/>
      <c r="F23" s="4"/>
      <c r="G23" s="5"/>
      <c r="H23" s="5"/>
      <c r="I23" s="5"/>
      <c r="J23" s="6"/>
      <c r="K23" s="4" t="s">
        <v>75</v>
      </c>
      <c r="L23" s="10" t="s">
        <v>73</v>
      </c>
      <c r="M23" s="7">
        <v>44051</v>
      </c>
      <c r="N23" s="7">
        <v>44167</v>
      </c>
      <c r="O23" s="8">
        <v>44280</v>
      </c>
    </row>
    <row r="24" spans="1:15">
      <c r="A24" s="4" t="s">
        <v>77</v>
      </c>
      <c r="B24" s="10" t="s">
        <v>64</v>
      </c>
      <c r="C24" s="7">
        <v>44134</v>
      </c>
      <c r="D24" s="7">
        <v>44246</v>
      </c>
      <c r="E24" s="8">
        <v>44356</v>
      </c>
      <c r="F24" s="4" t="s">
        <v>71</v>
      </c>
      <c r="G24" s="10" t="s">
        <v>64</v>
      </c>
      <c r="H24" s="7">
        <v>44086</v>
      </c>
      <c r="I24" s="7">
        <v>44202</v>
      </c>
      <c r="J24" s="8">
        <v>44295</v>
      </c>
      <c r="K24" s="4" t="s">
        <v>76</v>
      </c>
      <c r="L24" s="10" t="s">
        <v>73</v>
      </c>
      <c r="M24" s="7">
        <v>44117</v>
      </c>
      <c r="N24" s="7">
        <v>44230</v>
      </c>
      <c r="O24" s="8">
        <v>44335</v>
      </c>
    </row>
    <row r="25" spans="1:15">
      <c r="A25" s="4"/>
      <c r="B25" s="5"/>
      <c r="C25" s="5"/>
      <c r="D25" s="5"/>
      <c r="E25" s="6"/>
      <c r="F25" s="4"/>
      <c r="G25" s="5"/>
      <c r="H25" s="5"/>
      <c r="I25" s="5"/>
      <c r="J25" s="6"/>
      <c r="K25" s="4" t="s">
        <v>81</v>
      </c>
      <c r="L25" s="10" t="s">
        <v>73</v>
      </c>
      <c r="M25" s="7">
        <v>44168</v>
      </c>
      <c r="N25" s="7">
        <v>44287</v>
      </c>
      <c r="O25" s="8">
        <v>44392</v>
      </c>
    </row>
    <row r="26" spans="1:15">
      <c r="A26" s="4" t="s">
        <v>78</v>
      </c>
      <c r="B26" s="5" t="s">
        <v>79</v>
      </c>
      <c r="C26" s="7">
        <v>44256</v>
      </c>
      <c r="D26" s="7">
        <v>44398</v>
      </c>
      <c r="E26" s="8">
        <v>44623</v>
      </c>
      <c r="F26" s="4" t="s">
        <v>80</v>
      </c>
      <c r="G26" s="10" t="s">
        <v>64</v>
      </c>
      <c r="H26" s="7">
        <v>44203</v>
      </c>
      <c r="I26" s="7">
        <v>44315</v>
      </c>
      <c r="J26" s="8">
        <v>44407</v>
      </c>
      <c r="K26" s="4" t="s">
        <v>82</v>
      </c>
      <c r="L26" s="10" t="s">
        <v>73</v>
      </c>
      <c r="M26" s="7">
        <v>44231</v>
      </c>
      <c r="N26" s="7">
        <v>44348</v>
      </c>
      <c r="O26" s="8">
        <v>44446</v>
      </c>
    </row>
    <row r="27" spans="1:15">
      <c r="A27" s="4"/>
      <c r="B27" s="5"/>
      <c r="C27" s="5"/>
      <c r="D27" s="5"/>
      <c r="E27" s="6"/>
      <c r="F27" s="4"/>
      <c r="G27" s="5"/>
      <c r="H27" s="5"/>
      <c r="I27" s="5"/>
      <c r="J27" s="6"/>
      <c r="K27" s="4" t="s">
        <v>83</v>
      </c>
      <c r="L27" s="10" t="s">
        <v>73</v>
      </c>
      <c r="M27" s="7">
        <v>44288</v>
      </c>
      <c r="N27" s="7">
        <v>44420</v>
      </c>
      <c r="O27" s="8">
        <v>44530</v>
      </c>
    </row>
    <row r="28" spans="1:15">
      <c r="A28" s="4" t="s">
        <v>85</v>
      </c>
      <c r="B28" s="5" t="s">
        <v>79</v>
      </c>
      <c r="C28" s="7">
        <v>44399</v>
      </c>
      <c r="D28" s="7">
        <v>44526</v>
      </c>
      <c r="E28" s="8">
        <v>44735</v>
      </c>
      <c r="F28" s="4"/>
      <c r="G28" s="5"/>
      <c r="H28" s="5"/>
      <c r="I28" s="5"/>
      <c r="J28" s="6"/>
      <c r="K28" s="4" t="s">
        <v>84</v>
      </c>
      <c r="L28" s="5" t="s">
        <v>38</v>
      </c>
      <c r="M28" s="7">
        <v>44349</v>
      </c>
      <c r="N28" s="7">
        <v>44502</v>
      </c>
      <c r="O28" s="8">
        <v>44720</v>
      </c>
    </row>
    <row r="29" spans="1:15">
      <c r="A29" s="4"/>
      <c r="B29" s="5"/>
      <c r="C29" s="5"/>
      <c r="D29" s="5"/>
      <c r="E29" s="6"/>
      <c r="F29" s="4"/>
      <c r="G29" s="5"/>
      <c r="H29" s="5"/>
      <c r="I29" s="5"/>
      <c r="J29" s="6"/>
      <c r="K29" s="4" t="s">
        <v>86</v>
      </c>
      <c r="L29" s="5" t="s">
        <v>38</v>
      </c>
      <c r="M29" s="7">
        <v>44427</v>
      </c>
      <c r="N29" s="7">
        <v>44572</v>
      </c>
      <c r="O29" s="8">
        <v>44778</v>
      </c>
    </row>
    <row r="30" spans="1:15">
      <c r="A30" s="4" t="s">
        <v>87</v>
      </c>
      <c r="B30" s="5" t="s">
        <v>79</v>
      </c>
      <c r="C30" s="7">
        <v>44527</v>
      </c>
      <c r="D30" s="7">
        <v>44670</v>
      </c>
      <c r="E30" s="8">
        <v>44881</v>
      </c>
      <c r="F30" s="4"/>
      <c r="G30" s="5"/>
      <c r="H30" s="5"/>
      <c r="I30" s="5"/>
      <c r="J30" s="6"/>
      <c r="K30" s="4" t="s">
        <v>88</v>
      </c>
      <c r="L30" s="10" t="s">
        <v>73</v>
      </c>
      <c r="M30" s="7">
        <v>44503</v>
      </c>
      <c r="N30" s="7">
        <v>44628</v>
      </c>
      <c r="O30" s="8">
        <v>44749</v>
      </c>
    </row>
    <row r="31" spans="1:15">
      <c r="A31" s="4"/>
      <c r="B31" s="5"/>
      <c r="C31" s="5"/>
      <c r="D31" s="5"/>
      <c r="E31" s="6"/>
      <c r="F31" s="4"/>
      <c r="G31" s="5"/>
      <c r="H31" s="5"/>
      <c r="I31" s="5"/>
      <c r="J31" s="6"/>
      <c r="K31" s="4" t="s">
        <v>89</v>
      </c>
      <c r="L31" s="10" t="s">
        <v>73</v>
      </c>
      <c r="M31" s="7">
        <v>44573</v>
      </c>
      <c r="N31" s="7">
        <v>44699</v>
      </c>
      <c r="O31" s="8">
        <v>44818</v>
      </c>
    </row>
    <row r="32" spans="1:15">
      <c r="A32" s="4" t="s">
        <v>91</v>
      </c>
      <c r="B32" s="5" t="s">
        <v>92</v>
      </c>
      <c r="C32" s="7">
        <v>44671</v>
      </c>
      <c r="D32" s="7">
        <v>44777</v>
      </c>
      <c r="E32" s="8">
        <v>44910</v>
      </c>
      <c r="F32" s="4"/>
      <c r="G32" s="5"/>
      <c r="H32" s="5"/>
      <c r="I32" s="5"/>
      <c r="J32" s="6"/>
      <c r="K32" s="9" t="s">
        <v>90</v>
      </c>
      <c r="L32" s="5" t="s">
        <v>79</v>
      </c>
      <c r="M32" s="7">
        <v>44629</v>
      </c>
      <c r="N32" s="7">
        <v>44750</v>
      </c>
      <c r="O32" s="8">
        <v>44964</v>
      </c>
    </row>
    <row r="33" spans="1:15">
      <c r="A33" s="4"/>
      <c r="B33" s="5"/>
      <c r="C33" s="5"/>
      <c r="D33" s="5"/>
      <c r="E33" s="6"/>
      <c r="F33" s="4"/>
      <c r="G33" s="5"/>
      <c r="H33" s="5"/>
      <c r="I33" s="5"/>
      <c r="J33" s="6"/>
      <c r="K33" s="4" t="s">
        <v>93</v>
      </c>
      <c r="L33" s="10" t="s">
        <v>73</v>
      </c>
      <c r="M33" s="7">
        <v>44700</v>
      </c>
      <c r="N33" s="7">
        <v>44807</v>
      </c>
      <c r="O33" s="8">
        <v>44944</v>
      </c>
    </row>
    <row r="34" spans="1:15">
      <c r="A34" s="4" t="s">
        <v>95</v>
      </c>
      <c r="B34" s="5" t="s">
        <v>96</v>
      </c>
      <c r="C34" s="7">
        <v>44778</v>
      </c>
      <c r="D34" s="7">
        <v>44869</v>
      </c>
      <c r="E34" s="8">
        <v>44986</v>
      </c>
      <c r="F34" s="4"/>
      <c r="G34" s="5"/>
      <c r="H34" s="5"/>
      <c r="I34" s="5"/>
      <c r="J34" s="6"/>
      <c r="K34" s="4" t="s">
        <v>94</v>
      </c>
      <c r="L34" s="10" t="s">
        <v>73</v>
      </c>
      <c r="M34" s="7">
        <v>44751</v>
      </c>
      <c r="N34" s="7">
        <v>44854</v>
      </c>
      <c r="O34" s="8">
        <v>44980</v>
      </c>
    </row>
    <row r="35" spans="1:15">
      <c r="A35" s="4" t="s">
        <v>99</v>
      </c>
      <c r="B35" s="5" t="s">
        <v>96</v>
      </c>
      <c r="C35" s="7">
        <v>44870</v>
      </c>
      <c r="D35" s="7">
        <v>44966</v>
      </c>
      <c r="E35" s="8">
        <v>45085</v>
      </c>
      <c r="F35" s="4"/>
      <c r="G35" s="5"/>
      <c r="H35" s="5"/>
      <c r="I35" s="5"/>
      <c r="J35" s="6"/>
      <c r="K35" s="4" t="s">
        <v>97</v>
      </c>
      <c r="L35" s="10" t="s">
        <v>73</v>
      </c>
      <c r="M35" s="7">
        <v>44808</v>
      </c>
      <c r="N35" s="7">
        <v>44902</v>
      </c>
      <c r="O35" s="8">
        <v>45013</v>
      </c>
    </row>
    <row r="36" spans="1:15">
      <c r="A36" s="4" t="s">
        <v>102</v>
      </c>
      <c r="B36" s="5" t="s">
        <v>96</v>
      </c>
      <c r="C36" s="7">
        <v>44967</v>
      </c>
      <c r="D36" s="7">
        <v>45055</v>
      </c>
      <c r="E36" s="8">
        <v>45176</v>
      </c>
      <c r="F36" s="4"/>
      <c r="G36" s="5"/>
      <c r="H36" s="5"/>
      <c r="I36" s="5"/>
      <c r="J36" s="6"/>
      <c r="K36" s="4" t="s">
        <v>98</v>
      </c>
      <c r="L36" s="10" t="s">
        <v>73</v>
      </c>
      <c r="M36" s="7">
        <v>44855</v>
      </c>
      <c r="N36" s="7">
        <v>44951</v>
      </c>
      <c r="O36" s="8">
        <v>45065</v>
      </c>
    </row>
    <row r="37" spans="1:15">
      <c r="A37" s="4" t="s">
        <v>104</v>
      </c>
      <c r="B37" s="10" t="s">
        <v>105</v>
      </c>
      <c r="C37" s="7">
        <v>45056</v>
      </c>
      <c r="D37" s="7">
        <v>45218</v>
      </c>
      <c r="E37" s="8">
        <v>45376</v>
      </c>
      <c r="F37" s="4"/>
      <c r="G37" s="5"/>
      <c r="H37" s="5"/>
      <c r="I37" s="5"/>
      <c r="J37" s="6"/>
      <c r="K37" s="4" t="s">
        <v>100</v>
      </c>
      <c r="L37" s="10" t="s">
        <v>101</v>
      </c>
      <c r="M37" s="7">
        <v>44952</v>
      </c>
      <c r="N37" s="7">
        <v>45125</v>
      </c>
      <c r="O37" s="8">
        <v>45364</v>
      </c>
    </row>
    <row r="38" spans="1:15">
      <c r="A38" s="4" t="s">
        <v>106</v>
      </c>
      <c r="B38" s="5" t="s">
        <v>96</v>
      </c>
      <c r="C38" s="7">
        <v>45219</v>
      </c>
      <c r="D38" s="7">
        <v>45317</v>
      </c>
      <c r="E38" s="8">
        <v>45442</v>
      </c>
      <c r="F38" s="4"/>
      <c r="G38" s="5"/>
      <c r="H38" s="5"/>
      <c r="I38" s="5"/>
      <c r="J38" s="6"/>
      <c r="K38" s="4" t="s">
        <v>103</v>
      </c>
      <c r="L38" s="10" t="s">
        <v>101</v>
      </c>
      <c r="M38" s="7">
        <v>45126</v>
      </c>
      <c r="N38" s="7">
        <v>45274</v>
      </c>
      <c r="O38" s="8">
        <v>45547</v>
      </c>
    </row>
    <row r="39" spans="1:15">
      <c r="A39" s="4" t="s">
        <v>107</v>
      </c>
      <c r="B39" s="5" t="s">
        <v>96</v>
      </c>
      <c r="C39" s="7">
        <v>45318</v>
      </c>
      <c r="D39" s="7">
        <v>45399</v>
      </c>
      <c r="E39" s="8">
        <v>45512</v>
      </c>
      <c r="F39" s="4"/>
      <c r="G39" s="5"/>
      <c r="H39" s="5"/>
      <c r="I39" s="5"/>
      <c r="J39" s="6"/>
      <c r="K39" s="4" t="s">
        <v>108</v>
      </c>
      <c r="L39" s="10" t="s">
        <v>101</v>
      </c>
      <c r="M39" s="7">
        <v>45275</v>
      </c>
      <c r="N39" s="7">
        <v>45436</v>
      </c>
      <c r="O39" s="8">
        <v>45702</v>
      </c>
    </row>
    <row r="40" spans="1:15">
      <c r="A40" s="9" t="s">
        <v>109</v>
      </c>
      <c r="B40" s="10" t="s">
        <v>110</v>
      </c>
      <c r="C40" s="7">
        <v>45400</v>
      </c>
      <c r="D40" s="7">
        <v>45505</v>
      </c>
      <c r="E40" s="8">
        <v>45678</v>
      </c>
      <c r="F40" s="4"/>
      <c r="G40" s="5"/>
      <c r="H40" s="5"/>
      <c r="I40" s="5"/>
      <c r="J40" s="6"/>
      <c r="K40" s="4" t="s">
        <v>111</v>
      </c>
      <c r="L40" s="10" t="s">
        <v>101</v>
      </c>
      <c r="M40" s="7">
        <v>45437</v>
      </c>
      <c r="N40" s="7">
        <v>45602</v>
      </c>
      <c r="O40" s="8">
        <v>45847</v>
      </c>
    </row>
    <row r="41" spans="1:15">
      <c r="A41" s="4"/>
      <c r="B41" s="5"/>
      <c r="C41" s="5"/>
      <c r="D41" s="5"/>
      <c r="E41" s="6"/>
      <c r="F41" s="4" t="s">
        <v>112</v>
      </c>
      <c r="G41" s="5" t="s">
        <v>38</v>
      </c>
      <c r="H41" s="7">
        <v>45506</v>
      </c>
      <c r="I41" s="7">
        <v>45684</v>
      </c>
      <c r="J41" s="8">
        <v>45896</v>
      </c>
      <c r="K41" s="4" t="s">
        <v>114</v>
      </c>
      <c r="L41" s="10" t="s">
        <v>73</v>
      </c>
      <c r="M41" s="7">
        <v>45514</v>
      </c>
      <c r="N41" s="7">
        <v>45652</v>
      </c>
      <c r="O41" s="8">
        <v>45786</v>
      </c>
    </row>
    <row r="42" spans="1:15">
      <c r="A42" s="4"/>
      <c r="B42" s="5"/>
      <c r="C42" s="5"/>
      <c r="D42" s="5"/>
      <c r="E42" s="6"/>
      <c r="F42" s="4"/>
      <c r="G42" s="5"/>
      <c r="H42" s="5"/>
      <c r="I42" s="5"/>
      <c r="J42" s="6"/>
      <c r="K42" s="4" t="s">
        <v>115</v>
      </c>
      <c r="L42" s="10" t="s">
        <v>73</v>
      </c>
      <c r="M42" s="7">
        <v>45603</v>
      </c>
      <c r="N42" s="7">
        <v>45709</v>
      </c>
      <c r="O42" s="8">
        <v>45841</v>
      </c>
    </row>
    <row r="43" spans="1:15">
      <c r="A43" s="4"/>
      <c r="B43" s="5"/>
      <c r="C43" s="5"/>
      <c r="D43" s="5"/>
      <c r="E43" s="6"/>
      <c r="F43" s="4"/>
      <c r="G43" s="5"/>
      <c r="H43" s="5"/>
      <c r="I43" s="5"/>
      <c r="J43" s="6"/>
      <c r="K43" s="4" t="s">
        <v>116</v>
      </c>
      <c r="L43" s="10" t="s">
        <v>73</v>
      </c>
      <c r="M43" s="7">
        <v>45653</v>
      </c>
      <c r="N43" s="7">
        <v>45765</v>
      </c>
      <c r="O43" s="8">
        <v>45902</v>
      </c>
    </row>
    <row r="44" spans="1:15">
      <c r="A44" s="4"/>
      <c r="B44" s="5"/>
      <c r="C44" s="5"/>
      <c r="D44" s="5"/>
      <c r="E44" s="6"/>
      <c r="F44" s="4" t="s">
        <v>113</v>
      </c>
      <c r="G44" s="5" t="s">
        <v>38</v>
      </c>
      <c r="H44" s="7">
        <v>45685</v>
      </c>
      <c r="I44" s="7">
        <v>45834</v>
      </c>
      <c r="J44" s="8">
        <v>46038</v>
      </c>
      <c r="K44" s="4" t="s">
        <v>117</v>
      </c>
      <c r="L44" s="10" t="s">
        <v>118</v>
      </c>
      <c r="M44" s="7">
        <v>45710</v>
      </c>
      <c r="N44" s="7">
        <v>45814</v>
      </c>
      <c r="O44" s="8">
        <v>45974</v>
      </c>
    </row>
    <row r="45" spans="1:15">
      <c r="A45" s="4"/>
      <c r="B45" s="5"/>
      <c r="C45" s="5"/>
      <c r="D45" s="5"/>
      <c r="E45" s="6"/>
      <c r="F45" s="4"/>
      <c r="G45" s="5"/>
      <c r="H45" s="5"/>
      <c r="I45" s="5"/>
      <c r="J45" s="6"/>
      <c r="K45" s="4" t="s">
        <v>119</v>
      </c>
      <c r="L45" s="5" t="s">
        <v>79</v>
      </c>
      <c r="M45" s="7">
        <v>45766</v>
      </c>
      <c r="N45" s="7">
        <v>45877</v>
      </c>
      <c r="O45" s="8">
        <v>46071</v>
      </c>
    </row>
    <row r="46" spans="1:15">
      <c r="A46" s="4"/>
      <c r="B46" s="5"/>
      <c r="C46" s="5"/>
      <c r="D46" s="5"/>
      <c r="E46" s="6"/>
      <c r="F46" s="4" t="s">
        <v>120</v>
      </c>
      <c r="G46" s="5" t="s">
        <v>121</v>
      </c>
      <c r="H46" s="7">
        <v>45835</v>
      </c>
      <c r="I46" s="7">
        <v>45951</v>
      </c>
      <c r="J46" s="8">
        <v>46163</v>
      </c>
      <c r="K46" s="4" t="s">
        <v>122</v>
      </c>
      <c r="L46" s="5" t="s">
        <v>121</v>
      </c>
      <c r="M46" s="7">
        <v>45815</v>
      </c>
      <c r="N46" s="7">
        <v>45939</v>
      </c>
      <c r="O46" s="8">
        <v>46121</v>
      </c>
    </row>
    <row r="47" spans="1:15">
      <c r="A47" s="4"/>
      <c r="B47" s="5"/>
      <c r="C47" s="5"/>
      <c r="D47" s="5"/>
      <c r="E47" s="6"/>
      <c r="F47" s="4"/>
      <c r="G47" s="5"/>
      <c r="H47" s="5"/>
      <c r="I47" s="5"/>
      <c r="J47" s="6"/>
      <c r="K47" s="4" t="s">
        <v>123</v>
      </c>
      <c r="L47" s="10" t="s">
        <v>73</v>
      </c>
      <c r="M47" s="7">
        <v>45878</v>
      </c>
      <c r="N47" s="7">
        <v>45986</v>
      </c>
      <c r="O47" s="8">
        <v>46106</v>
      </c>
    </row>
    <row r="48" spans="1:15">
      <c r="A48" s="4"/>
      <c r="B48" s="5"/>
      <c r="C48" s="5"/>
      <c r="D48" s="5"/>
      <c r="E48" s="6"/>
      <c r="F48" s="4" t="s">
        <v>125</v>
      </c>
      <c r="G48" s="5" t="s">
        <v>79</v>
      </c>
      <c r="H48" s="7">
        <v>45952</v>
      </c>
      <c r="I48" s="7">
        <v>46057</v>
      </c>
      <c r="J48" s="8">
        <v>46234</v>
      </c>
      <c r="K48" s="4" t="s">
        <v>124</v>
      </c>
      <c r="L48" s="10" t="s">
        <v>73</v>
      </c>
      <c r="M48" s="7">
        <v>45940</v>
      </c>
      <c r="N48" s="7">
        <v>46042</v>
      </c>
      <c r="O48" s="8">
        <v>46155</v>
      </c>
    </row>
    <row r="49" spans="1:15">
      <c r="A49" s="4"/>
      <c r="B49" s="5"/>
      <c r="C49" s="5"/>
      <c r="D49" s="5"/>
      <c r="E49" s="6"/>
      <c r="F49" s="4"/>
      <c r="G49" s="5"/>
      <c r="H49" s="5"/>
      <c r="I49" s="5"/>
      <c r="J49" s="6"/>
      <c r="K49" s="4" t="s">
        <v>126</v>
      </c>
      <c r="L49" s="10" t="s">
        <v>73</v>
      </c>
      <c r="M49" s="7">
        <v>45987</v>
      </c>
      <c r="N49" s="7">
        <v>46093</v>
      </c>
      <c r="O49" s="8">
        <v>46206</v>
      </c>
    </row>
    <row r="50" spans="1:15">
      <c r="A50" s="4"/>
      <c r="B50" s="5"/>
      <c r="C50" s="5"/>
      <c r="D50" s="5"/>
      <c r="E50" s="6"/>
      <c r="F50" s="4" t="s">
        <v>129</v>
      </c>
      <c r="G50" s="5" t="s">
        <v>79</v>
      </c>
      <c r="H50" s="7">
        <v>46058</v>
      </c>
      <c r="I50" s="7">
        <v>46156</v>
      </c>
      <c r="J50" s="8">
        <v>46345</v>
      </c>
      <c r="K50" s="4" t="s">
        <v>127</v>
      </c>
      <c r="L50" s="10" t="s">
        <v>128</v>
      </c>
      <c r="M50" s="7">
        <v>46043</v>
      </c>
      <c r="N50" s="7">
        <v>46168</v>
      </c>
      <c r="O50" s="8">
        <v>46339</v>
      </c>
    </row>
    <row r="51" spans="1:15">
      <c r="A51" s="4"/>
      <c r="B51" s="5"/>
      <c r="C51" s="5"/>
      <c r="D51" s="5"/>
      <c r="E51" s="6"/>
      <c r="F51" s="4"/>
      <c r="G51" s="5"/>
      <c r="H51" s="5"/>
      <c r="I51" s="5"/>
      <c r="J51" s="6"/>
      <c r="K51" s="4" t="s">
        <v>130</v>
      </c>
      <c r="L51" s="5" t="s">
        <v>121</v>
      </c>
      <c r="M51" s="7">
        <v>46094</v>
      </c>
      <c r="N51" s="7">
        <v>46231</v>
      </c>
      <c r="O51" s="8">
        <v>46421</v>
      </c>
    </row>
    <row r="52" spans="1:15">
      <c r="A52" s="4"/>
      <c r="B52" s="5"/>
      <c r="C52" s="5"/>
      <c r="D52" s="5"/>
      <c r="E52" s="6"/>
      <c r="F52" s="4" t="s">
        <v>132</v>
      </c>
      <c r="G52" s="5" t="s">
        <v>79</v>
      </c>
      <c r="H52" s="7">
        <v>46157</v>
      </c>
      <c r="I52" s="7">
        <v>46261</v>
      </c>
      <c r="J52" s="8">
        <v>46441</v>
      </c>
      <c r="K52" s="4" t="s">
        <v>131</v>
      </c>
      <c r="L52" s="5" t="s">
        <v>121</v>
      </c>
      <c r="M52" s="7">
        <v>46169</v>
      </c>
      <c r="N52" s="7">
        <v>46303</v>
      </c>
      <c r="O52" s="8">
        <v>46492</v>
      </c>
    </row>
    <row r="53" spans="1:15">
      <c r="A53" s="4"/>
      <c r="B53" s="5"/>
      <c r="C53" s="5"/>
      <c r="D53" s="5"/>
      <c r="E53" s="6"/>
      <c r="F53" s="4"/>
      <c r="G53" s="5"/>
      <c r="H53" s="5"/>
      <c r="I53" s="5"/>
      <c r="J53" s="6"/>
      <c r="K53" s="4" t="s">
        <v>133</v>
      </c>
      <c r="L53" s="5" t="s">
        <v>62</v>
      </c>
      <c r="M53" s="7">
        <v>46232</v>
      </c>
      <c r="N53" s="7">
        <v>46366</v>
      </c>
      <c r="O53" s="8">
        <v>46555</v>
      </c>
    </row>
    <row r="54" spans="1:15">
      <c r="A54" s="4"/>
      <c r="B54" s="5"/>
      <c r="C54" s="5"/>
      <c r="D54" s="5"/>
      <c r="E54" s="6"/>
      <c r="F54" s="4" t="s">
        <v>135</v>
      </c>
      <c r="G54" s="5" t="s">
        <v>38</v>
      </c>
      <c r="H54" s="7">
        <v>46262</v>
      </c>
      <c r="I54" s="7">
        <v>46401</v>
      </c>
      <c r="J54" s="8">
        <v>46577</v>
      </c>
      <c r="K54" s="9" t="s">
        <v>134</v>
      </c>
      <c r="L54" s="5" t="s">
        <v>62</v>
      </c>
      <c r="M54" s="7">
        <v>46304</v>
      </c>
      <c r="N54" s="7">
        <v>46436</v>
      </c>
      <c r="O54" s="8">
        <v>46626</v>
      </c>
    </row>
    <row r="55" spans="1:15">
      <c r="A55" s="4"/>
      <c r="B55" s="5"/>
      <c r="C55" s="5"/>
      <c r="D55" s="5"/>
      <c r="E55" s="6"/>
      <c r="F55" s="4"/>
      <c r="G55" s="5"/>
      <c r="H55" s="5"/>
      <c r="I55" s="5"/>
      <c r="J55" s="6"/>
      <c r="K55" s="9" t="s">
        <v>136</v>
      </c>
      <c r="L55" s="5" t="s">
        <v>62</v>
      </c>
      <c r="M55" s="7">
        <v>46367</v>
      </c>
      <c r="N55" s="7">
        <v>46505</v>
      </c>
      <c r="O55" s="8">
        <v>46686</v>
      </c>
    </row>
    <row r="56" spans="1:15">
      <c r="A56" s="4"/>
      <c r="B56" s="5"/>
      <c r="C56" s="5"/>
      <c r="D56" s="5"/>
      <c r="E56" s="6"/>
      <c r="F56" s="4" t="s">
        <v>150</v>
      </c>
      <c r="G56" s="5" t="s">
        <v>79</v>
      </c>
      <c r="H56" s="7">
        <v>46402</v>
      </c>
      <c r="I56" s="7">
        <v>46518</v>
      </c>
      <c r="J56" s="8">
        <v>46696</v>
      </c>
      <c r="K56" s="9" t="s">
        <v>137</v>
      </c>
      <c r="L56" s="5" t="s">
        <v>62</v>
      </c>
      <c r="M56" s="7">
        <v>46437</v>
      </c>
      <c r="N56" s="7">
        <v>46560</v>
      </c>
      <c r="O56" s="8">
        <v>46731</v>
      </c>
    </row>
    <row r="57" spans="1:15">
      <c r="A57" s="4"/>
      <c r="B57" s="5"/>
      <c r="C57" s="5"/>
      <c r="D57" s="5"/>
      <c r="E57" s="6"/>
      <c r="F57" s="4" t="s">
        <v>151</v>
      </c>
      <c r="G57" s="5" t="s">
        <v>121</v>
      </c>
      <c r="H57" s="7">
        <v>46519</v>
      </c>
      <c r="I57" s="7">
        <v>46630</v>
      </c>
      <c r="J57" s="8">
        <v>46814</v>
      </c>
      <c r="K57" s="9" t="s">
        <v>138</v>
      </c>
      <c r="L57" s="10" t="s">
        <v>73</v>
      </c>
      <c r="M57" s="7">
        <v>46506</v>
      </c>
      <c r="N57" s="7">
        <v>46603</v>
      </c>
      <c r="O57" s="8">
        <v>46717</v>
      </c>
    </row>
    <row r="58" spans="1:15">
      <c r="A58" s="4"/>
      <c r="B58" s="5"/>
      <c r="C58" s="5"/>
      <c r="D58" s="5"/>
      <c r="E58" s="6"/>
      <c r="F58" s="4"/>
      <c r="G58" s="5"/>
      <c r="H58" s="5"/>
      <c r="I58" s="5"/>
      <c r="J58" s="6"/>
      <c r="K58" s="9" t="s">
        <v>139</v>
      </c>
      <c r="L58" s="10" t="s">
        <v>73</v>
      </c>
      <c r="M58" s="7">
        <v>46561</v>
      </c>
      <c r="N58" s="7">
        <v>46645</v>
      </c>
      <c r="O58" s="8">
        <v>46766</v>
      </c>
    </row>
    <row r="59" spans="1:15">
      <c r="A59" s="4"/>
      <c r="B59" s="5"/>
      <c r="C59" s="5"/>
      <c r="D59" s="5"/>
      <c r="E59" s="6"/>
      <c r="F59" s="4"/>
      <c r="G59" s="5"/>
      <c r="H59" s="5"/>
      <c r="I59" s="5"/>
      <c r="J59" s="6"/>
      <c r="K59" s="9" t="s">
        <v>140</v>
      </c>
      <c r="L59" s="10" t="s">
        <v>73</v>
      </c>
      <c r="M59" s="7">
        <v>46604</v>
      </c>
      <c r="N59" s="7">
        <v>46688</v>
      </c>
      <c r="O59" s="8">
        <v>46801</v>
      </c>
    </row>
    <row r="60" spans="1:15">
      <c r="A60" s="4"/>
      <c r="B60" s="5"/>
      <c r="C60" s="5"/>
      <c r="D60" s="5"/>
      <c r="E60" s="6"/>
      <c r="F60" s="4" t="s">
        <v>152</v>
      </c>
      <c r="G60" s="5" t="s">
        <v>121</v>
      </c>
      <c r="H60" s="7">
        <v>46631</v>
      </c>
      <c r="I60" s="7">
        <v>46735</v>
      </c>
      <c r="J60" s="8">
        <v>46918</v>
      </c>
      <c r="K60" s="9" t="s">
        <v>141</v>
      </c>
      <c r="L60" s="10" t="s">
        <v>73</v>
      </c>
      <c r="M60" s="7">
        <v>46646</v>
      </c>
      <c r="N60" s="7">
        <v>46723</v>
      </c>
      <c r="O60" s="8">
        <v>46829</v>
      </c>
    </row>
    <row r="61" spans="1:15">
      <c r="A61" s="4"/>
      <c r="B61" s="5"/>
      <c r="C61" s="5"/>
      <c r="D61" s="5"/>
      <c r="E61" s="6"/>
      <c r="F61" s="4"/>
      <c r="G61" s="5"/>
      <c r="H61" s="5"/>
      <c r="I61" s="5"/>
      <c r="J61" s="6"/>
      <c r="K61" s="9" t="s">
        <v>142</v>
      </c>
      <c r="L61" s="10" t="s">
        <v>143</v>
      </c>
      <c r="M61" s="7">
        <v>46689</v>
      </c>
      <c r="N61" s="7">
        <v>46765</v>
      </c>
      <c r="O61" s="8">
        <v>46861</v>
      </c>
    </row>
    <row r="62" spans="1:15">
      <c r="A62" s="4"/>
      <c r="B62" s="5"/>
      <c r="C62" s="5"/>
      <c r="D62" s="5"/>
      <c r="E62" s="6"/>
      <c r="F62" s="4" t="s">
        <v>153</v>
      </c>
      <c r="G62" s="5" t="s">
        <v>121</v>
      </c>
      <c r="H62" s="7">
        <v>46736</v>
      </c>
      <c r="I62" s="7">
        <v>46842</v>
      </c>
      <c r="J62" s="8">
        <v>47024</v>
      </c>
      <c r="K62" s="9" t="s">
        <v>144</v>
      </c>
      <c r="L62" s="10" t="s">
        <v>143</v>
      </c>
      <c r="M62" s="7">
        <v>46724</v>
      </c>
      <c r="N62" s="7">
        <v>46821</v>
      </c>
      <c r="O62" s="8">
        <v>46927</v>
      </c>
    </row>
    <row r="63" spans="1:15">
      <c r="A63" s="4"/>
      <c r="B63" s="5"/>
      <c r="C63" s="5"/>
      <c r="D63" s="5"/>
      <c r="E63" s="6"/>
      <c r="F63" s="4"/>
      <c r="G63" s="5"/>
      <c r="H63" s="5"/>
      <c r="I63" s="5"/>
      <c r="J63" s="6"/>
      <c r="K63" s="9" t="s">
        <v>145</v>
      </c>
      <c r="L63" s="5" t="s">
        <v>62</v>
      </c>
      <c r="M63" s="7">
        <v>46766</v>
      </c>
      <c r="N63" s="7">
        <v>46883</v>
      </c>
      <c r="O63" s="8">
        <v>47064</v>
      </c>
    </row>
    <row r="64" spans="1:15">
      <c r="A64" s="4"/>
      <c r="B64" s="5"/>
      <c r="C64" s="5"/>
      <c r="D64" s="5"/>
      <c r="E64" s="6"/>
      <c r="F64" s="4"/>
      <c r="G64" s="5"/>
      <c r="H64" s="5"/>
      <c r="I64" s="5"/>
      <c r="J64" s="6"/>
      <c r="K64" s="9" t="s">
        <v>146</v>
      </c>
      <c r="L64" s="5" t="s">
        <v>62</v>
      </c>
      <c r="M64" s="7">
        <v>46822</v>
      </c>
      <c r="N64" s="7">
        <v>46940</v>
      </c>
      <c r="O64" s="8">
        <v>47144</v>
      </c>
    </row>
    <row r="65" spans="1:15">
      <c r="A65" s="4"/>
      <c r="B65" s="5"/>
      <c r="C65" s="5"/>
      <c r="D65" s="5"/>
      <c r="E65" s="6"/>
      <c r="F65" s="4"/>
      <c r="G65" s="5"/>
      <c r="H65" s="5"/>
      <c r="I65" s="5"/>
      <c r="J65" s="6"/>
      <c r="K65" s="9" t="s">
        <v>147</v>
      </c>
      <c r="L65" s="10" t="s">
        <v>143</v>
      </c>
      <c r="M65" s="7">
        <v>46884</v>
      </c>
      <c r="N65" s="7">
        <v>46975</v>
      </c>
      <c r="O65" s="8">
        <v>47086</v>
      </c>
    </row>
    <row r="66" spans="1:15">
      <c r="A66" s="4"/>
      <c r="B66" s="5"/>
      <c r="C66" s="5"/>
      <c r="D66" s="5"/>
      <c r="E66" s="6"/>
      <c r="F66" s="4"/>
      <c r="G66" s="5"/>
      <c r="H66" s="5"/>
      <c r="I66" s="5"/>
      <c r="J66" s="6"/>
      <c r="K66" s="9" t="s">
        <v>148</v>
      </c>
      <c r="L66" s="10" t="s">
        <v>143</v>
      </c>
      <c r="M66" s="7">
        <v>46941</v>
      </c>
      <c r="N66" s="7">
        <v>47017</v>
      </c>
      <c r="O66" s="8">
        <v>47135</v>
      </c>
    </row>
    <row r="67" spans="1:15">
      <c r="A67" s="4"/>
      <c r="B67" s="5"/>
      <c r="C67" s="5"/>
      <c r="D67" s="5"/>
      <c r="E67" s="6"/>
      <c r="F67" s="4"/>
      <c r="G67" s="5"/>
      <c r="H67" s="5"/>
      <c r="I67" s="5"/>
      <c r="J67" s="6"/>
      <c r="K67" s="9" t="s">
        <v>149</v>
      </c>
      <c r="L67" s="10" t="s">
        <v>73</v>
      </c>
      <c r="M67" s="7">
        <v>46976</v>
      </c>
      <c r="N67" s="7">
        <v>47057</v>
      </c>
      <c r="O67" s="8">
        <v>47169</v>
      </c>
    </row>
    <row r="68" spans="1:15">
      <c r="A68" s="4"/>
      <c r="B68" s="5"/>
      <c r="C68" s="5"/>
      <c r="D68" s="5"/>
      <c r="E68" s="6"/>
      <c r="F68" s="4"/>
      <c r="G68" s="5"/>
      <c r="H68" s="5"/>
      <c r="I68" s="5"/>
      <c r="J68" s="6"/>
      <c r="K68" s="4"/>
      <c r="L68" s="5"/>
      <c r="M68" s="5"/>
      <c r="N68" s="5"/>
      <c r="O68" s="6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D67D-B1ED-4089-8C63-80E02BE23B6A}">
  <dimension ref="A1:C33"/>
  <sheetViews>
    <sheetView workbookViewId="0">
      <selection activeCell="B2" sqref="B2"/>
    </sheetView>
  </sheetViews>
  <sheetFormatPr defaultRowHeight="18.75"/>
  <cols>
    <col min="1" max="3" width="20.125" bestFit="1" customWidth="1"/>
  </cols>
  <sheetData>
    <row r="1" spans="1:3">
      <c r="A1" t="s">
        <v>284</v>
      </c>
      <c r="B1" t="s">
        <v>154</v>
      </c>
    </row>
    <row r="2" spans="1:3">
      <c r="A2" s="10" t="s">
        <v>118</v>
      </c>
      <c r="B2" s="10" t="s">
        <v>49</v>
      </c>
    </row>
    <row r="3" spans="1:3">
      <c r="A3" s="10" t="s">
        <v>58</v>
      </c>
      <c r="B3" s="10" t="s">
        <v>54</v>
      </c>
    </row>
    <row r="4" spans="1:3">
      <c r="A4" s="5" t="s">
        <v>92</v>
      </c>
      <c r="B4" s="5" t="s">
        <v>79</v>
      </c>
      <c r="C4" s="5"/>
    </row>
    <row r="5" spans="1:3">
      <c r="A5" s="10" t="s">
        <v>70</v>
      </c>
      <c r="B5" s="5" t="s">
        <v>121</v>
      </c>
    </row>
    <row r="6" spans="1:3">
      <c r="A6" s="5" t="s">
        <v>96</v>
      </c>
      <c r="B6" s="10" t="s">
        <v>37</v>
      </c>
    </row>
    <row r="7" spans="1:3">
      <c r="A7" s="5" t="s">
        <v>7</v>
      </c>
      <c r="B7" s="5" t="s">
        <v>11</v>
      </c>
    </row>
    <row r="8" spans="1:3">
      <c r="A8" s="10" t="s">
        <v>67</v>
      </c>
      <c r="B8" s="10" t="s">
        <v>41</v>
      </c>
      <c r="C8" s="10"/>
    </row>
    <row r="9" spans="1:3">
      <c r="A9" s="10" t="s">
        <v>47</v>
      </c>
      <c r="B9" s="5" t="s">
        <v>13</v>
      </c>
      <c r="C9" s="5"/>
    </row>
    <row r="10" spans="1:3">
      <c r="A10" s="5" t="s">
        <v>20</v>
      </c>
      <c r="B10" s="5" t="s">
        <v>38</v>
      </c>
      <c r="C10" s="10"/>
    </row>
    <row r="11" spans="1:3">
      <c r="A11" s="10" t="s">
        <v>128</v>
      </c>
      <c r="B11" s="10" t="s">
        <v>62</v>
      </c>
    </row>
    <row r="12" spans="1:3">
      <c r="A12" s="10" t="s">
        <v>35</v>
      </c>
      <c r="C12" s="10"/>
    </row>
    <row r="13" spans="1:3">
      <c r="A13" s="10" t="s">
        <v>143</v>
      </c>
    </row>
    <row r="14" spans="1:3">
      <c r="A14" s="5" t="s">
        <v>23</v>
      </c>
      <c r="C14" s="10"/>
    </row>
    <row r="15" spans="1:3">
      <c r="A15" s="10" t="s">
        <v>73</v>
      </c>
      <c r="B15" s="5"/>
      <c r="C15" s="10"/>
    </row>
    <row r="16" spans="1:3">
      <c r="A16" s="10" t="s">
        <v>101</v>
      </c>
      <c r="B16" s="5"/>
      <c r="C16" s="5"/>
    </row>
    <row r="17" spans="1:3">
      <c r="A17" s="5" t="s">
        <v>17</v>
      </c>
      <c r="B17" s="5"/>
      <c r="C17" s="10"/>
    </row>
    <row r="18" spans="1:3">
      <c r="A18" s="5" t="s">
        <v>15</v>
      </c>
      <c r="B18" s="5"/>
      <c r="C18" s="10"/>
    </row>
    <row r="19" spans="1:3">
      <c r="A19" s="5" t="s">
        <v>9</v>
      </c>
      <c r="B19" s="5"/>
    </row>
    <row r="20" spans="1:3">
      <c r="B20" s="5"/>
      <c r="C20" s="10"/>
    </row>
    <row r="21" spans="1:3">
      <c r="A21" s="5"/>
      <c r="B21" s="5"/>
      <c r="C21" s="10"/>
    </row>
    <row r="22" spans="1:3">
      <c r="B22" s="5"/>
      <c r="C22" s="10"/>
    </row>
    <row r="23" spans="1:3">
      <c r="B23" s="5"/>
      <c r="C23" s="10"/>
    </row>
    <row r="24" spans="1:3">
      <c r="B24" s="5"/>
      <c r="C24" s="10"/>
    </row>
    <row r="25" spans="1:3">
      <c r="B25" s="5"/>
      <c r="C25" s="10"/>
    </row>
    <row r="26" spans="1:3">
      <c r="B26" s="5"/>
    </row>
    <row r="27" spans="1:3">
      <c r="B27" s="5"/>
      <c r="C27" s="10"/>
    </row>
    <row r="28" spans="1:3">
      <c r="B28" s="5"/>
      <c r="C28" s="5"/>
    </row>
    <row r="29" spans="1:3">
      <c r="B29" s="5"/>
      <c r="C29" s="5"/>
    </row>
    <row r="30" spans="1:3">
      <c r="B30" s="5"/>
      <c r="C30" s="10"/>
    </row>
    <row r="31" spans="1:3">
      <c r="B31" s="5"/>
      <c r="C31" s="10"/>
    </row>
    <row r="32" spans="1:3">
      <c r="B32" s="5"/>
      <c r="C32" s="10"/>
    </row>
    <row r="33" spans="2:3">
      <c r="B33" s="5"/>
      <c r="C33" s="5"/>
    </row>
  </sheetData>
  <sortState ref="A2:A24">
    <sortCondition ref="A2:A24"/>
  </sortState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0C95-847A-426E-9F84-EC4296AD9850}">
  <dimension ref="A1:DP11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6" sqref="C6"/>
    </sheetView>
  </sheetViews>
  <sheetFormatPr defaultRowHeight="15.75"/>
  <cols>
    <col min="1" max="1" width="10" style="11" bestFit="1" customWidth="1"/>
    <col min="2" max="2" width="9.375" style="11" bestFit="1" customWidth="1"/>
    <col min="3" max="21" width="9.125" style="11" bestFit="1" customWidth="1"/>
    <col min="22" max="22" width="9" style="11"/>
    <col min="23" max="26" width="9.125" style="11" bestFit="1" customWidth="1"/>
    <col min="27" max="27" width="9" style="11"/>
    <col min="28" max="32" width="9.125" style="11" bestFit="1" customWidth="1"/>
    <col min="33" max="33" width="9" style="11"/>
    <col min="34" max="37" width="9.125" style="11" bestFit="1" customWidth="1"/>
    <col min="38" max="38" width="9" style="11"/>
    <col min="39" max="39" width="9.125" style="11" bestFit="1" customWidth="1"/>
    <col min="40" max="40" width="9" style="11"/>
    <col min="41" max="41" width="10" style="11" bestFit="1" customWidth="1"/>
    <col min="42" max="42" width="9" style="11"/>
    <col min="43" max="44" width="9.125" style="11" bestFit="1" customWidth="1"/>
    <col min="45" max="45" width="9.75" style="11" bestFit="1" customWidth="1"/>
    <col min="46" max="72" width="9.125" style="11" bestFit="1" customWidth="1"/>
    <col min="73" max="73" width="9" style="11"/>
    <col min="74" max="84" width="9.125" style="11" bestFit="1" customWidth="1"/>
    <col min="85" max="85" width="9" style="11"/>
    <col min="86" max="87" width="9.125" style="11" bestFit="1" customWidth="1"/>
    <col min="88" max="88" width="9" style="11"/>
    <col min="89" max="108" width="9.125" style="11" bestFit="1" customWidth="1"/>
    <col min="109" max="109" width="10" style="11" bestFit="1" customWidth="1"/>
    <col min="110" max="117" width="9.125" style="11" bestFit="1" customWidth="1"/>
    <col min="118" max="118" width="9" style="11"/>
    <col min="119" max="119" width="10" style="11" bestFit="1" customWidth="1"/>
    <col min="120" max="120" width="9.125" style="11" bestFit="1" customWidth="1"/>
    <col min="121" max="16384" width="9" style="11"/>
  </cols>
  <sheetData>
    <row r="1" spans="1:120">
      <c r="A1" s="13"/>
      <c r="B1" s="12" t="s">
        <v>260</v>
      </c>
      <c r="C1" s="327" t="s">
        <v>156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5"/>
      <c r="AK1" s="15"/>
      <c r="AL1" s="14"/>
      <c r="AM1" s="15"/>
      <c r="AN1" s="15"/>
      <c r="AO1" s="16"/>
      <c r="AP1" s="15"/>
      <c r="AQ1" s="15"/>
      <c r="AR1" s="15"/>
      <c r="AS1" s="17"/>
      <c r="AT1" s="18"/>
      <c r="AU1" s="19" t="s">
        <v>157</v>
      </c>
      <c r="AV1" s="20"/>
      <c r="AW1" s="21"/>
      <c r="AX1" s="21"/>
      <c r="AY1" s="21"/>
      <c r="AZ1" s="21"/>
      <c r="BA1" s="22"/>
      <c r="BB1" s="23"/>
      <c r="BC1" s="23"/>
      <c r="BD1" s="23"/>
      <c r="BE1" s="24" t="s">
        <v>158</v>
      </c>
      <c r="BF1" s="25" t="s">
        <v>159</v>
      </c>
      <c r="BG1" s="25"/>
      <c r="BH1" s="25"/>
      <c r="BI1" s="26"/>
      <c r="BJ1" s="27"/>
      <c r="BK1" s="28" t="s">
        <v>160</v>
      </c>
      <c r="BL1" s="29"/>
      <c r="BM1" s="29"/>
      <c r="BN1" s="29"/>
      <c r="BO1" s="29"/>
      <c r="BP1" s="29"/>
      <c r="BQ1" s="30"/>
      <c r="BR1" s="31"/>
      <c r="BS1" s="32" t="s">
        <v>161</v>
      </c>
      <c r="BT1" s="33"/>
      <c r="BU1" s="33"/>
      <c r="BV1" s="33"/>
      <c r="BW1" s="33"/>
      <c r="BX1" s="33"/>
      <c r="BY1" s="34"/>
      <c r="BZ1" s="34"/>
      <c r="CA1" s="34"/>
      <c r="CB1" s="34"/>
      <c r="CC1" s="33"/>
      <c r="CD1" s="34"/>
      <c r="CE1" s="33"/>
      <c r="CF1" s="34"/>
      <c r="CG1" s="34"/>
      <c r="CH1" s="34"/>
      <c r="CI1" s="34"/>
      <c r="CJ1" s="34"/>
      <c r="CK1" s="34"/>
      <c r="CL1" s="35"/>
      <c r="CM1" s="36"/>
      <c r="CN1" s="28" t="s">
        <v>162</v>
      </c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30"/>
      <c r="DA1" s="31"/>
      <c r="DB1" s="37"/>
      <c r="DC1" s="38"/>
      <c r="DD1" s="38"/>
      <c r="DE1" s="37"/>
      <c r="DF1" s="38"/>
      <c r="DG1" s="37"/>
      <c r="DH1" s="38"/>
      <c r="DI1" s="37"/>
      <c r="DJ1" s="38"/>
      <c r="DK1" s="37"/>
      <c r="DL1" s="37"/>
      <c r="DM1" s="39"/>
      <c r="DN1" s="37"/>
      <c r="DO1" s="37"/>
      <c r="DP1" s="37"/>
    </row>
    <row r="2" spans="1:120" s="292" customFormat="1" ht="16.5" thickBot="1">
      <c r="A2" s="13"/>
      <c r="B2" s="12" t="s">
        <v>257</v>
      </c>
      <c r="C2" s="332" t="s">
        <v>163</v>
      </c>
      <c r="D2" s="329" t="s">
        <v>261</v>
      </c>
      <c r="E2" s="261" t="s">
        <v>261</v>
      </c>
      <c r="F2" s="261" t="s">
        <v>261</v>
      </c>
      <c r="G2" s="251" t="s">
        <v>261</v>
      </c>
      <c r="H2" s="250" t="s">
        <v>164</v>
      </c>
      <c r="I2" s="329" t="s">
        <v>262</v>
      </c>
      <c r="J2" s="251" t="s">
        <v>262</v>
      </c>
      <c r="K2" s="261" t="s">
        <v>165</v>
      </c>
      <c r="L2" s="332" t="s">
        <v>166</v>
      </c>
      <c r="M2" s="339" t="s">
        <v>263</v>
      </c>
      <c r="N2" s="337" t="s">
        <v>167</v>
      </c>
      <c r="O2" s="329" t="s">
        <v>168</v>
      </c>
      <c r="P2" s="332" t="s">
        <v>169</v>
      </c>
      <c r="Q2" s="251" t="s">
        <v>264</v>
      </c>
      <c r="R2" s="250" t="s">
        <v>170</v>
      </c>
      <c r="S2" s="250" t="s">
        <v>171</v>
      </c>
      <c r="T2" s="261" t="s">
        <v>265</v>
      </c>
      <c r="U2" s="261" t="s">
        <v>265</v>
      </c>
      <c r="V2" s="251" t="s">
        <v>265</v>
      </c>
      <c r="W2" s="329" t="s">
        <v>172</v>
      </c>
      <c r="X2" s="250" t="s">
        <v>173</v>
      </c>
      <c r="Y2" s="332" t="s">
        <v>174</v>
      </c>
      <c r="Z2" s="251" t="s">
        <v>266</v>
      </c>
      <c r="AA2" s="250" t="s">
        <v>175</v>
      </c>
      <c r="AB2" s="251" t="s">
        <v>267</v>
      </c>
      <c r="AC2" s="332" t="s">
        <v>176</v>
      </c>
      <c r="AD2" s="339" t="s">
        <v>268</v>
      </c>
      <c r="AE2" s="262" t="s">
        <v>177</v>
      </c>
      <c r="AF2" s="337" t="s">
        <v>178</v>
      </c>
      <c r="AG2" s="251" t="s">
        <v>179</v>
      </c>
      <c r="AH2" s="250" t="s">
        <v>180</v>
      </c>
      <c r="AI2" s="251" t="s">
        <v>269</v>
      </c>
      <c r="AJ2" s="250" t="s">
        <v>181</v>
      </c>
      <c r="AK2" s="261" t="s">
        <v>270</v>
      </c>
      <c r="AL2" s="251" t="s">
        <v>270</v>
      </c>
      <c r="AM2" s="337" t="s">
        <v>182</v>
      </c>
      <c r="AN2" s="250" t="s">
        <v>183</v>
      </c>
      <c r="AO2" s="263" t="s">
        <v>156</v>
      </c>
      <c r="AP2" s="264" t="s">
        <v>156</v>
      </c>
      <c r="AQ2" s="264" t="s">
        <v>184</v>
      </c>
      <c r="AR2" s="264" t="s">
        <v>156</v>
      </c>
      <c r="AS2" s="265" t="s">
        <v>156</v>
      </c>
      <c r="AT2" s="266" t="s">
        <v>156</v>
      </c>
      <c r="AU2" s="267" t="s">
        <v>185</v>
      </c>
      <c r="AV2" s="268" t="s">
        <v>186</v>
      </c>
      <c r="AW2" s="268" t="s">
        <v>187</v>
      </c>
      <c r="AX2" s="268" t="s">
        <v>188</v>
      </c>
      <c r="AY2" s="268" t="s">
        <v>189</v>
      </c>
      <c r="AZ2" s="269" t="s">
        <v>190</v>
      </c>
      <c r="BA2" s="270" t="s">
        <v>191</v>
      </c>
      <c r="BB2" s="271" t="s">
        <v>157</v>
      </c>
      <c r="BC2" s="272" t="s">
        <v>192</v>
      </c>
      <c r="BD2" s="271" t="s">
        <v>157</v>
      </c>
      <c r="BE2" s="260" t="s">
        <v>193</v>
      </c>
      <c r="BF2" s="332" t="s">
        <v>194</v>
      </c>
      <c r="BG2" s="339" t="s">
        <v>271</v>
      </c>
      <c r="BH2" s="332" t="s">
        <v>195</v>
      </c>
      <c r="BI2" s="273" t="s">
        <v>272</v>
      </c>
      <c r="BJ2" s="274"/>
      <c r="BK2" s="267" t="s">
        <v>196</v>
      </c>
      <c r="BL2" s="328" t="s">
        <v>197</v>
      </c>
      <c r="BM2" s="328" t="s">
        <v>198</v>
      </c>
      <c r="BN2" s="328" t="s">
        <v>199</v>
      </c>
      <c r="BO2" s="268" t="s">
        <v>200</v>
      </c>
      <c r="BP2" s="269" t="s">
        <v>201</v>
      </c>
      <c r="BQ2" s="270" t="s">
        <v>202</v>
      </c>
      <c r="BR2" s="275"/>
      <c r="BS2" s="354" t="s">
        <v>203</v>
      </c>
      <c r="BT2" s="355" t="s">
        <v>273</v>
      </c>
      <c r="BU2" s="276" t="s">
        <v>273</v>
      </c>
      <c r="BV2" s="277" t="s">
        <v>204</v>
      </c>
      <c r="BW2" s="358" t="s">
        <v>274</v>
      </c>
      <c r="BX2" s="360" t="s">
        <v>205</v>
      </c>
      <c r="BY2" s="358" t="s">
        <v>275</v>
      </c>
      <c r="BZ2" s="362" t="s">
        <v>206</v>
      </c>
      <c r="CA2" s="250" t="s">
        <v>207</v>
      </c>
      <c r="CB2" s="251" t="s">
        <v>276</v>
      </c>
      <c r="CC2" s="250" t="s">
        <v>208</v>
      </c>
      <c r="CD2" s="251" t="s">
        <v>277</v>
      </c>
      <c r="CE2" s="278" t="s">
        <v>209</v>
      </c>
      <c r="CF2" s="276" t="s">
        <v>278</v>
      </c>
      <c r="CG2" s="279" t="s">
        <v>210</v>
      </c>
      <c r="CH2" s="280" t="s">
        <v>211</v>
      </c>
      <c r="CI2" s="281" t="s">
        <v>279</v>
      </c>
      <c r="CJ2" s="282" t="s">
        <v>212</v>
      </c>
      <c r="CK2" s="332" t="s">
        <v>213</v>
      </c>
      <c r="CL2" s="364" t="s">
        <v>280</v>
      </c>
      <c r="CM2" s="283" t="s">
        <v>161</v>
      </c>
      <c r="CN2" s="284" t="s">
        <v>214</v>
      </c>
      <c r="CO2" s="285" t="s">
        <v>281</v>
      </c>
      <c r="CP2" s="285" t="s">
        <v>281</v>
      </c>
      <c r="CQ2" s="350" t="s">
        <v>215</v>
      </c>
      <c r="CR2" s="286" t="s">
        <v>216</v>
      </c>
      <c r="CS2" s="287" t="s">
        <v>282</v>
      </c>
      <c r="CT2" s="287" t="s">
        <v>282</v>
      </c>
      <c r="CU2" s="288" t="s">
        <v>282</v>
      </c>
      <c r="CV2" s="286" t="s">
        <v>217</v>
      </c>
      <c r="CW2" s="287" t="s">
        <v>283</v>
      </c>
      <c r="CX2" s="287" t="s">
        <v>283</v>
      </c>
      <c r="CY2" s="288" t="s">
        <v>283</v>
      </c>
      <c r="CZ2" s="289" t="s">
        <v>218</v>
      </c>
      <c r="DA2" s="275"/>
      <c r="DB2" s="290"/>
      <c r="DC2" s="38"/>
      <c r="DD2" s="38"/>
      <c r="DE2" s="38" t="s">
        <v>219</v>
      </c>
      <c r="DF2" s="38"/>
      <c r="DG2" s="290"/>
      <c r="DH2" s="38"/>
      <c r="DI2" s="290"/>
      <c r="DJ2" s="290"/>
      <c r="DK2" s="38" t="s">
        <v>219</v>
      </c>
      <c r="DL2" s="290"/>
      <c r="DM2" s="291"/>
      <c r="DN2" s="290"/>
      <c r="DO2" s="290"/>
      <c r="DP2" s="290"/>
    </row>
    <row r="3" spans="1:120" s="292" customFormat="1">
      <c r="A3" s="13"/>
      <c r="B3" s="12" t="s">
        <v>258</v>
      </c>
      <c r="C3" s="335">
        <v>1.2</v>
      </c>
      <c r="D3" s="330">
        <v>1.2</v>
      </c>
      <c r="E3" s="320">
        <v>1.4</v>
      </c>
      <c r="F3" s="322">
        <v>1.4</v>
      </c>
      <c r="G3" s="321">
        <v>1.4</v>
      </c>
      <c r="H3" s="320">
        <v>1.2</v>
      </c>
      <c r="I3" s="330">
        <v>1.2</v>
      </c>
      <c r="J3" s="295">
        <v>1.4</v>
      </c>
      <c r="K3" s="295">
        <v>1.2</v>
      </c>
      <c r="L3" s="333">
        <v>1.2</v>
      </c>
      <c r="M3" s="340">
        <v>1.4</v>
      </c>
      <c r="N3" s="328">
        <v>1.2</v>
      </c>
      <c r="O3" s="342">
        <v>1.4</v>
      </c>
      <c r="P3" s="333">
        <v>1.2</v>
      </c>
      <c r="Q3" s="297">
        <v>1.4</v>
      </c>
      <c r="R3" s="297">
        <v>1.4</v>
      </c>
      <c r="S3" s="297">
        <v>0.8</v>
      </c>
      <c r="T3" s="268">
        <v>1</v>
      </c>
      <c r="U3" s="320">
        <v>1.2</v>
      </c>
      <c r="V3" s="321">
        <v>1.2</v>
      </c>
      <c r="W3" s="344">
        <v>1.2</v>
      </c>
      <c r="X3" s="269">
        <v>1.2</v>
      </c>
      <c r="Y3" s="335">
        <v>1.2</v>
      </c>
      <c r="Z3" s="305">
        <v>1.4</v>
      </c>
      <c r="AA3" s="320">
        <v>1.4</v>
      </c>
      <c r="AB3" s="321">
        <v>1.4</v>
      </c>
      <c r="AC3" s="335">
        <v>1.4</v>
      </c>
      <c r="AD3" s="330">
        <v>1.4</v>
      </c>
      <c r="AE3" s="297">
        <v>1.4</v>
      </c>
      <c r="AF3" s="348">
        <v>1.4</v>
      </c>
      <c r="AG3" s="294">
        <v>1.2</v>
      </c>
      <c r="AH3" s="295">
        <v>1.2</v>
      </c>
      <c r="AI3" s="294">
        <v>1.2</v>
      </c>
      <c r="AJ3" s="320">
        <v>1.2</v>
      </c>
      <c r="AK3" s="321">
        <v>1.2</v>
      </c>
      <c r="AL3" s="294">
        <v>1.4</v>
      </c>
      <c r="AM3" s="340">
        <v>1.6</v>
      </c>
      <c r="AN3" s="296">
        <v>1.6</v>
      </c>
      <c r="AO3" s="298" t="s">
        <v>220</v>
      </c>
      <c r="AP3" s="299" t="s">
        <v>221</v>
      </c>
      <c r="AQ3" s="299"/>
      <c r="AR3" s="299" t="s">
        <v>222</v>
      </c>
      <c r="AS3" s="299" t="s">
        <v>223</v>
      </c>
      <c r="AT3" s="300" t="s">
        <v>224</v>
      </c>
      <c r="AU3" s="267"/>
      <c r="AV3" s="268"/>
      <c r="AW3" s="268"/>
      <c r="AX3" s="268"/>
      <c r="AY3" s="268"/>
      <c r="AZ3" s="269"/>
      <c r="BA3" s="270"/>
      <c r="BB3" s="301" t="s">
        <v>225</v>
      </c>
      <c r="BC3" s="272"/>
      <c r="BD3" s="301" t="s">
        <v>225</v>
      </c>
      <c r="BE3" s="293">
        <v>4</v>
      </c>
      <c r="BF3" s="333">
        <v>4.8</v>
      </c>
      <c r="BG3" s="333">
        <v>6.4</v>
      </c>
      <c r="BH3" s="353">
        <v>4.8</v>
      </c>
      <c r="BI3" s="302">
        <v>6.4</v>
      </c>
      <c r="BJ3" s="303"/>
      <c r="BK3" s="267"/>
      <c r="BL3" s="268"/>
      <c r="BM3" s="268"/>
      <c r="BN3" s="268"/>
      <c r="BO3" s="268"/>
      <c r="BP3" s="269"/>
      <c r="BQ3" s="270"/>
      <c r="BR3" s="304"/>
      <c r="BS3" s="356">
        <v>3.2</v>
      </c>
      <c r="BT3" s="357">
        <v>4</v>
      </c>
      <c r="BU3" s="305">
        <v>4.5</v>
      </c>
      <c r="BV3" s="306">
        <v>4</v>
      </c>
      <c r="BW3" s="359">
        <v>5.5</v>
      </c>
      <c r="BX3" s="361">
        <v>3.2</v>
      </c>
      <c r="BY3" s="359">
        <v>4</v>
      </c>
      <c r="BZ3" s="363">
        <v>4</v>
      </c>
      <c r="CA3" s="307">
        <v>5</v>
      </c>
      <c r="CB3" s="307">
        <v>5</v>
      </c>
      <c r="CC3" s="297">
        <v>3.2</v>
      </c>
      <c r="CD3" s="297">
        <v>4</v>
      </c>
      <c r="CE3" s="268">
        <v>3.2</v>
      </c>
      <c r="CF3" s="268">
        <v>4</v>
      </c>
      <c r="CG3" s="268">
        <v>4</v>
      </c>
      <c r="CH3" s="297">
        <v>3.2</v>
      </c>
      <c r="CI3" s="297">
        <v>4</v>
      </c>
      <c r="CJ3" s="297">
        <v>3.2</v>
      </c>
      <c r="CK3" s="328">
        <v>3.2</v>
      </c>
      <c r="CL3" s="365">
        <v>4</v>
      </c>
      <c r="CM3" s="308" t="s">
        <v>225</v>
      </c>
      <c r="CN3" s="309">
        <v>1.6</v>
      </c>
      <c r="CO3" s="297">
        <v>2</v>
      </c>
      <c r="CP3" s="297">
        <v>2.4</v>
      </c>
      <c r="CQ3" s="348">
        <v>2.4</v>
      </c>
      <c r="CR3" s="297">
        <v>1.6</v>
      </c>
      <c r="CS3" s="297">
        <v>2</v>
      </c>
      <c r="CT3" s="297">
        <v>2.4</v>
      </c>
      <c r="CU3" s="297">
        <v>3.2</v>
      </c>
      <c r="CV3" s="297">
        <v>1.6</v>
      </c>
      <c r="CW3" s="297">
        <v>2</v>
      </c>
      <c r="CX3" s="297">
        <v>2.4</v>
      </c>
      <c r="CY3" s="297">
        <v>3.2</v>
      </c>
      <c r="CZ3" s="310">
        <v>2.2000000000000002</v>
      </c>
      <c r="DA3" s="304"/>
      <c r="DB3" s="311" t="s">
        <v>226</v>
      </c>
      <c r="DC3" s="40" t="s">
        <v>227</v>
      </c>
      <c r="DD3" s="40" t="s">
        <v>228</v>
      </c>
      <c r="DE3" s="40" t="s">
        <v>229</v>
      </c>
      <c r="DF3" s="40" t="s">
        <v>230</v>
      </c>
      <c r="DG3" s="40" t="s">
        <v>231</v>
      </c>
      <c r="DH3" s="40" t="s">
        <v>232</v>
      </c>
      <c r="DI3" s="40" t="s">
        <v>233</v>
      </c>
      <c r="DJ3" s="40" t="s">
        <v>234</v>
      </c>
      <c r="DK3" s="40" t="s">
        <v>235</v>
      </c>
      <c r="DL3" s="312" t="s">
        <v>236</v>
      </c>
      <c r="DM3" s="313" t="s">
        <v>237</v>
      </c>
      <c r="DN3" s="314"/>
      <c r="DO3" s="315" t="s">
        <v>238</v>
      </c>
      <c r="DP3" s="316" t="s">
        <v>239</v>
      </c>
    </row>
    <row r="4" spans="1:120">
      <c r="A4" s="13"/>
      <c r="B4" s="12" t="s">
        <v>259</v>
      </c>
      <c r="C4" s="336">
        <v>15</v>
      </c>
      <c r="D4" s="331">
        <v>250</v>
      </c>
      <c r="E4" s="46">
        <v>15</v>
      </c>
      <c r="F4" s="52">
        <v>20</v>
      </c>
      <c r="G4" s="41">
        <v>250</v>
      </c>
      <c r="H4" s="42">
        <v>12.5</v>
      </c>
      <c r="I4" s="331">
        <v>15</v>
      </c>
      <c r="J4" s="42">
        <v>12.5</v>
      </c>
      <c r="K4" s="42">
        <v>12.5</v>
      </c>
      <c r="L4" s="341">
        <v>12.5</v>
      </c>
      <c r="M4" s="331">
        <v>15</v>
      </c>
      <c r="N4" s="338">
        <v>15</v>
      </c>
      <c r="O4" s="343">
        <v>15</v>
      </c>
      <c r="P4" s="334">
        <v>12.5</v>
      </c>
      <c r="Q4" s="44">
        <v>12.5</v>
      </c>
      <c r="R4" s="43">
        <v>20</v>
      </c>
      <c r="S4" s="45">
        <v>10</v>
      </c>
      <c r="T4" s="43">
        <v>20</v>
      </c>
      <c r="U4" s="46">
        <v>20</v>
      </c>
      <c r="V4" s="41">
        <v>250</v>
      </c>
      <c r="W4" s="345">
        <v>20</v>
      </c>
      <c r="X4" s="47">
        <v>20</v>
      </c>
      <c r="Y4" s="346">
        <v>12.5</v>
      </c>
      <c r="Z4" s="41">
        <v>15</v>
      </c>
      <c r="AA4" s="46">
        <v>15</v>
      </c>
      <c r="AB4" s="41">
        <v>250</v>
      </c>
      <c r="AC4" s="347">
        <v>15</v>
      </c>
      <c r="AD4" s="331">
        <v>250</v>
      </c>
      <c r="AE4" s="45">
        <v>250</v>
      </c>
      <c r="AF4" s="349">
        <v>250</v>
      </c>
      <c r="AG4" s="49">
        <v>300</v>
      </c>
      <c r="AH4" s="50">
        <v>15</v>
      </c>
      <c r="AI4" s="51">
        <v>250</v>
      </c>
      <c r="AJ4" s="46">
        <v>15</v>
      </c>
      <c r="AK4" s="41">
        <v>250</v>
      </c>
      <c r="AL4" s="43">
        <v>250</v>
      </c>
      <c r="AM4" s="338">
        <v>20</v>
      </c>
      <c r="AN4" s="47">
        <v>20</v>
      </c>
      <c r="AO4" s="53" t="s">
        <v>155</v>
      </c>
      <c r="AP4" s="54" t="s">
        <v>155</v>
      </c>
      <c r="AQ4" s="54" t="s">
        <v>155</v>
      </c>
      <c r="AR4" s="54" t="s">
        <v>155</v>
      </c>
      <c r="AS4" s="54"/>
      <c r="AT4" s="55" t="s">
        <v>159</v>
      </c>
      <c r="AU4" s="56" t="s">
        <v>240</v>
      </c>
      <c r="AV4" s="45" t="s">
        <v>240</v>
      </c>
      <c r="AW4" s="45" t="s">
        <v>241</v>
      </c>
      <c r="AX4" s="48" t="s">
        <v>242</v>
      </c>
      <c r="AY4" s="48" t="s">
        <v>243</v>
      </c>
      <c r="AZ4" s="45" t="s">
        <v>244</v>
      </c>
      <c r="BA4" s="57" t="s">
        <v>245</v>
      </c>
      <c r="BB4" s="58"/>
      <c r="BC4" s="59" t="s">
        <v>240</v>
      </c>
      <c r="BD4" s="58"/>
      <c r="BE4" s="60">
        <v>12.5</v>
      </c>
      <c r="BF4" s="351">
        <v>500</v>
      </c>
      <c r="BG4" s="352">
        <v>500</v>
      </c>
      <c r="BH4" s="338">
        <v>25</v>
      </c>
      <c r="BI4" s="61">
        <v>25</v>
      </c>
      <c r="BJ4" s="62"/>
      <c r="BK4" s="56"/>
      <c r="BL4" s="45"/>
      <c r="BM4" s="45"/>
      <c r="BN4" s="45"/>
      <c r="BO4" s="45"/>
      <c r="BP4" s="48"/>
      <c r="BQ4" s="57"/>
      <c r="BR4" s="63"/>
      <c r="BS4" s="64"/>
      <c r="BT4" s="65"/>
      <c r="BU4" s="51"/>
      <c r="BV4" s="50"/>
      <c r="BW4" s="51"/>
      <c r="BX4" s="50"/>
      <c r="BY4" s="51"/>
      <c r="BZ4" s="48"/>
      <c r="CA4" s="45">
        <v>550</v>
      </c>
      <c r="CB4" s="45">
        <v>700</v>
      </c>
      <c r="CC4" s="45">
        <v>350</v>
      </c>
      <c r="CD4" s="43">
        <v>350</v>
      </c>
      <c r="CE4" s="45"/>
      <c r="CF4" s="45"/>
      <c r="CG4" s="45"/>
      <c r="CH4" s="45">
        <v>350</v>
      </c>
      <c r="CI4" s="45">
        <v>400</v>
      </c>
      <c r="CJ4" s="43">
        <v>350</v>
      </c>
      <c r="CK4" s="45"/>
      <c r="CL4" s="57"/>
      <c r="CM4" s="66"/>
      <c r="CN4" s="56">
        <v>5</v>
      </c>
      <c r="CO4" s="45">
        <v>5</v>
      </c>
      <c r="CP4" s="45">
        <v>5</v>
      </c>
      <c r="CQ4" s="349">
        <v>5</v>
      </c>
      <c r="CR4" s="45">
        <v>5</v>
      </c>
      <c r="CS4" s="45">
        <v>5</v>
      </c>
      <c r="CT4" s="45">
        <v>5</v>
      </c>
      <c r="CU4" s="45">
        <v>5</v>
      </c>
      <c r="CV4" s="45">
        <v>5</v>
      </c>
      <c r="CW4" s="45">
        <v>5</v>
      </c>
      <c r="CX4" s="45">
        <v>5</v>
      </c>
      <c r="CY4" s="45">
        <v>5</v>
      </c>
      <c r="CZ4" s="57">
        <v>5</v>
      </c>
      <c r="DA4" s="63"/>
      <c r="DB4" s="67">
        <f t="shared" ref="DB4:DL4" si="0">SUM(DB30:DB116)</f>
        <v>215670</v>
      </c>
      <c r="DC4" s="68">
        <f t="shared" si="0"/>
        <v>7320</v>
      </c>
      <c r="DD4" s="68">
        <f t="shared" si="0"/>
        <v>837510</v>
      </c>
      <c r="DE4" s="68">
        <f t="shared" si="0"/>
        <v>7525071.2000000002</v>
      </c>
      <c r="DF4" s="68">
        <f t="shared" si="0"/>
        <v>0</v>
      </c>
      <c r="DG4" s="68">
        <f t="shared" si="0"/>
        <v>11385</v>
      </c>
      <c r="DH4" s="68">
        <f t="shared" si="0"/>
        <v>14130</v>
      </c>
      <c r="DI4" s="68">
        <f t="shared" si="0"/>
        <v>0</v>
      </c>
      <c r="DJ4" s="68">
        <f t="shared" si="0"/>
        <v>0</v>
      </c>
      <c r="DK4" s="68">
        <f t="shared" si="0"/>
        <v>9921.6</v>
      </c>
      <c r="DL4" s="69">
        <f t="shared" si="0"/>
        <v>0</v>
      </c>
      <c r="DM4" s="252">
        <f>IF(SUM(DB4:DL4)=0,"",(DD4+DF4+DG4+DI4+DJ4+DK4+DL4)/SUM(DB4:DL4))</f>
        <v>9.9619049178913871E-2</v>
      </c>
      <c r="DN4" s="253"/>
      <c r="DO4" s="254"/>
      <c r="DP4" s="255"/>
    </row>
    <row r="5" spans="1:120" ht="16.5" thickBot="1">
      <c r="A5" s="70"/>
      <c r="B5" s="70"/>
      <c r="C5" s="73" t="s">
        <v>246</v>
      </c>
      <c r="D5" s="71" t="s">
        <v>246</v>
      </c>
      <c r="E5" s="73" t="s">
        <v>246</v>
      </c>
      <c r="F5" s="323" t="s">
        <v>247</v>
      </c>
      <c r="G5" s="71" t="s">
        <v>246</v>
      </c>
      <c r="H5" s="73" t="s">
        <v>246</v>
      </c>
      <c r="I5" s="71" t="s">
        <v>246</v>
      </c>
      <c r="J5" s="73" t="s">
        <v>246</v>
      </c>
      <c r="K5" s="73" t="s">
        <v>246</v>
      </c>
      <c r="L5" s="73" t="s">
        <v>246</v>
      </c>
      <c r="M5" s="71" t="s">
        <v>246</v>
      </c>
      <c r="N5" s="74" t="s">
        <v>246</v>
      </c>
      <c r="O5" s="72" t="s">
        <v>247</v>
      </c>
      <c r="P5" s="75" t="s">
        <v>246</v>
      </c>
      <c r="Q5" s="75" t="s">
        <v>246</v>
      </c>
      <c r="R5" s="75" t="s">
        <v>247</v>
      </c>
      <c r="S5" s="75" t="s">
        <v>246</v>
      </c>
      <c r="T5" s="74" t="s">
        <v>247</v>
      </c>
      <c r="U5" s="76" t="s">
        <v>247</v>
      </c>
      <c r="V5" s="77" t="s">
        <v>247</v>
      </c>
      <c r="W5" s="78" t="s">
        <v>248</v>
      </c>
      <c r="X5" s="79" t="s">
        <v>246</v>
      </c>
      <c r="Y5" s="73" t="s">
        <v>246</v>
      </c>
      <c r="Z5" s="77" t="s">
        <v>246</v>
      </c>
      <c r="AA5" s="76" t="s">
        <v>247</v>
      </c>
      <c r="AB5" s="71" t="s">
        <v>247</v>
      </c>
      <c r="AC5" s="73" t="s">
        <v>247</v>
      </c>
      <c r="AD5" s="71" t="s">
        <v>247</v>
      </c>
      <c r="AE5" s="75" t="s">
        <v>247</v>
      </c>
      <c r="AF5" s="75" t="s">
        <v>247</v>
      </c>
      <c r="AG5" s="80" t="s">
        <v>247</v>
      </c>
      <c r="AH5" s="73" t="s">
        <v>247</v>
      </c>
      <c r="AI5" s="71" t="s">
        <v>247</v>
      </c>
      <c r="AJ5" s="76" t="s">
        <v>246</v>
      </c>
      <c r="AK5" s="77" t="s">
        <v>247</v>
      </c>
      <c r="AL5" s="81" t="s">
        <v>247</v>
      </c>
      <c r="AM5" s="81" t="s">
        <v>247</v>
      </c>
      <c r="AN5" s="78" t="s">
        <v>247</v>
      </c>
      <c r="AO5" s="82"/>
      <c r="AP5" s="83"/>
      <c r="AQ5" s="83"/>
      <c r="AR5" s="83"/>
      <c r="AS5" s="84"/>
      <c r="AT5" s="85"/>
      <c r="AU5" s="86" t="s">
        <v>246</v>
      </c>
      <c r="AV5" s="87" t="s">
        <v>246</v>
      </c>
      <c r="AW5" s="75" t="s">
        <v>246</v>
      </c>
      <c r="AX5" s="88" t="s">
        <v>246</v>
      </c>
      <c r="AY5" s="88" t="s">
        <v>246</v>
      </c>
      <c r="AZ5" s="88" t="s">
        <v>246</v>
      </c>
      <c r="BA5" s="89" t="s">
        <v>246</v>
      </c>
      <c r="BB5" s="90"/>
      <c r="BC5" s="91" t="s">
        <v>246</v>
      </c>
      <c r="BD5" s="90"/>
      <c r="BE5" s="92" t="s">
        <v>249</v>
      </c>
      <c r="BF5" s="93" t="s">
        <v>249</v>
      </c>
      <c r="BG5" s="88" t="s">
        <v>249</v>
      </c>
      <c r="BH5" s="75" t="s">
        <v>249</v>
      </c>
      <c r="BI5" s="89" t="s">
        <v>249</v>
      </c>
      <c r="BJ5" s="94"/>
      <c r="BK5" s="92" t="s">
        <v>249</v>
      </c>
      <c r="BL5" s="75" t="s">
        <v>249</v>
      </c>
      <c r="BM5" s="75" t="s">
        <v>249</v>
      </c>
      <c r="BN5" s="75" t="s">
        <v>249</v>
      </c>
      <c r="BO5" s="75" t="s">
        <v>249</v>
      </c>
      <c r="BP5" s="88" t="s">
        <v>249</v>
      </c>
      <c r="BQ5" s="89" t="s">
        <v>249</v>
      </c>
      <c r="BR5" s="95"/>
      <c r="BS5" s="96" t="s">
        <v>250</v>
      </c>
      <c r="BT5" s="97" t="s">
        <v>250</v>
      </c>
      <c r="BU5" s="98" t="s">
        <v>250</v>
      </c>
      <c r="BV5" s="99" t="s">
        <v>250</v>
      </c>
      <c r="BW5" s="98" t="s">
        <v>250</v>
      </c>
      <c r="BX5" s="99" t="s">
        <v>250</v>
      </c>
      <c r="BY5" s="71" t="s">
        <v>250</v>
      </c>
      <c r="BZ5" s="88" t="s">
        <v>250</v>
      </c>
      <c r="CA5" s="75" t="s">
        <v>250</v>
      </c>
      <c r="CB5" s="75" t="s">
        <v>250</v>
      </c>
      <c r="CC5" s="87" t="s">
        <v>250</v>
      </c>
      <c r="CD5" s="74" t="s">
        <v>250</v>
      </c>
      <c r="CE5" s="87" t="s">
        <v>250</v>
      </c>
      <c r="CF5" s="75" t="s">
        <v>250</v>
      </c>
      <c r="CG5" s="75" t="s">
        <v>250</v>
      </c>
      <c r="CH5" s="75" t="s">
        <v>250</v>
      </c>
      <c r="CI5" s="75" t="s">
        <v>250</v>
      </c>
      <c r="CJ5" s="75" t="s">
        <v>250</v>
      </c>
      <c r="CK5" s="75" t="s">
        <v>250</v>
      </c>
      <c r="CL5" s="89" t="s">
        <v>250</v>
      </c>
      <c r="CM5" s="100"/>
      <c r="CN5" s="92" t="s">
        <v>248</v>
      </c>
      <c r="CO5" s="75" t="s">
        <v>248</v>
      </c>
      <c r="CP5" s="75" t="s">
        <v>248</v>
      </c>
      <c r="CQ5" s="75" t="s">
        <v>248</v>
      </c>
      <c r="CR5" s="75" t="s">
        <v>248</v>
      </c>
      <c r="CS5" s="75" t="s">
        <v>248</v>
      </c>
      <c r="CT5" s="75" t="s">
        <v>248</v>
      </c>
      <c r="CU5" s="75" t="s">
        <v>248</v>
      </c>
      <c r="CV5" s="75" t="s">
        <v>248</v>
      </c>
      <c r="CW5" s="75" t="s">
        <v>248</v>
      </c>
      <c r="CX5" s="75" t="s">
        <v>248</v>
      </c>
      <c r="CY5" s="75" t="s">
        <v>248</v>
      </c>
      <c r="CZ5" s="89" t="s">
        <v>248</v>
      </c>
      <c r="DA5" s="95"/>
      <c r="DB5" s="101" t="s">
        <v>250</v>
      </c>
      <c r="DC5" s="102" t="s">
        <v>249</v>
      </c>
      <c r="DD5" s="102" t="s">
        <v>249</v>
      </c>
      <c r="DE5" s="103" t="s">
        <v>246</v>
      </c>
      <c r="DF5" s="102" t="s">
        <v>247</v>
      </c>
      <c r="DG5" s="103" t="s">
        <v>251</v>
      </c>
      <c r="DH5" s="102" t="s">
        <v>248</v>
      </c>
      <c r="DI5" s="103" t="s">
        <v>252</v>
      </c>
      <c r="DJ5" s="103" t="s">
        <v>253</v>
      </c>
      <c r="DK5" s="103" t="s">
        <v>254</v>
      </c>
      <c r="DL5" s="104" t="s">
        <v>255</v>
      </c>
      <c r="DM5" s="256"/>
      <c r="DN5" s="257"/>
      <c r="DO5" s="258"/>
      <c r="DP5" s="259"/>
    </row>
    <row r="6" spans="1:120">
      <c r="A6" s="105" t="s">
        <v>256</v>
      </c>
      <c r="B6" s="317">
        <v>42736</v>
      </c>
      <c r="C6" s="109">
        <v>39915</v>
      </c>
      <c r="D6" s="106">
        <v>3500</v>
      </c>
      <c r="E6" s="109">
        <v>27240</v>
      </c>
      <c r="F6" s="108"/>
      <c r="G6" s="106">
        <v>500</v>
      </c>
      <c r="H6" s="109"/>
      <c r="I6" s="106">
        <v>150</v>
      </c>
      <c r="J6" s="109"/>
      <c r="K6" s="109"/>
      <c r="L6" s="109">
        <v>775</v>
      </c>
      <c r="M6" s="106">
        <v>5085</v>
      </c>
      <c r="N6" s="110"/>
      <c r="O6" s="111">
        <v>7215</v>
      </c>
      <c r="P6" s="112">
        <v>4950</v>
      </c>
      <c r="Q6" s="112"/>
      <c r="R6" s="110"/>
      <c r="S6" s="112"/>
      <c r="T6" s="110">
        <v>120</v>
      </c>
      <c r="U6" s="113"/>
      <c r="V6" s="114"/>
      <c r="W6" s="115"/>
      <c r="X6" s="116"/>
      <c r="Y6" s="109">
        <v>600</v>
      </c>
      <c r="Z6" s="106"/>
      <c r="AA6" s="113"/>
      <c r="AB6" s="114"/>
      <c r="AC6" s="113">
        <v>5040</v>
      </c>
      <c r="AD6" s="114">
        <v>500</v>
      </c>
      <c r="AE6" s="110">
        <v>4000</v>
      </c>
      <c r="AF6" s="110"/>
      <c r="AG6" s="115"/>
      <c r="AH6" s="113"/>
      <c r="AI6" s="114"/>
      <c r="AJ6" s="109"/>
      <c r="AK6" s="114"/>
      <c r="AL6" s="118"/>
      <c r="AM6" s="118"/>
      <c r="AN6" s="119"/>
      <c r="AO6" s="120">
        <f>SUM(C6:AL6)-N6</f>
        <v>99590</v>
      </c>
      <c r="AP6" s="121"/>
      <c r="AQ6" s="121">
        <f>AM6+AN6</f>
        <v>0</v>
      </c>
      <c r="AR6" s="121">
        <f>N6</f>
        <v>0</v>
      </c>
      <c r="AS6" s="122">
        <v>183965</v>
      </c>
      <c r="AT6" s="123">
        <f t="shared" ref="AT6:AT37" si="1">AS6/(AO6+AP6+AQ6+AR6)</f>
        <v>1.8472236168289988</v>
      </c>
      <c r="AU6" s="124">
        <v>2220</v>
      </c>
      <c r="AV6" s="125">
        <v>15120</v>
      </c>
      <c r="AW6" s="112">
        <v>240</v>
      </c>
      <c r="AX6" s="116">
        <v>7000</v>
      </c>
      <c r="AY6" s="116">
        <v>950</v>
      </c>
      <c r="AZ6" s="116">
        <v>300</v>
      </c>
      <c r="BA6" s="126">
        <v>680</v>
      </c>
      <c r="BB6" s="127">
        <f t="shared" ref="BB6:BB37" si="2">SUM(AU6:BA6)</f>
        <v>26510</v>
      </c>
      <c r="BC6" s="128"/>
      <c r="BD6" s="127">
        <f t="shared" ref="BD6:BD37" si="3">BC6</f>
        <v>0</v>
      </c>
      <c r="BE6" s="129">
        <v>375</v>
      </c>
      <c r="BF6" s="130">
        <v>500</v>
      </c>
      <c r="BG6" s="131"/>
      <c r="BH6" s="131">
        <v>800</v>
      </c>
      <c r="BI6" s="132"/>
      <c r="BJ6" s="133">
        <f t="shared" ref="BJ6:BJ37" si="4">SUM(BE6:BI6)</f>
        <v>1675</v>
      </c>
      <c r="BK6" s="129">
        <v>2400</v>
      </c>
      <c r="BL6" s="131">
        <v>1920</v>
      </c>
      <c r="BM6" s="131">
        <v>2400</v>
      </c>
      <c r="BN6" s="131"/>
      <c r="BO6" s="131"/>
      <c r="BP6" s="134"/>
      <c r="BQ6" s="132">
        <v>600</v>
      </c>
      <c r="BR6" s="135">
        <f t="shared" ref="BR6:BR37" si="5">SUM(BK6:BQ6)</f>
        <v>7320</v>
      </c>
      <c r="BS6" s="124">
        <v>340</v>
      </c>
      <c r="BT6" s="125"/>
      <c r="BU6" s="125"/>
      <c r="BV6" s="125">
        <v>40</v>
      </c>
      <c r="BW6" s="125">
        <v>80</v>
      </c>
      <c r="BX6" s="125">
        <v>1260</v>
      </c>
      <c r="BY6" s="112">
        <v>1100</v>
      </c>
      <c r="BZ6" s="112"/>
      <c r="CA6" s="112"/>
      <c r="CB6" s="112"/>
      <c r="CC6" s="125"/>
      <c r="CD6" s="112">
        <v>20</v>
      </c>
      <c r="CE6" s="125"/>
      <c r="CF6" s="112"/>
      <c r="CG6" s="112"/>
      <c r="CH6" s="112"/>
      <c r="CI6" s="112"/>
      <c r="CJ6" s="112"/>
      <c r="CK6" s="112">
        <v>1180</v>
      </c>
      <c r="CL6" s="126">
        <v>160</v>
      </c>
      <c r="CM6" s="136">
        <f t="shared" ref="CM6:CM37" si="6">SUM(BS6:CL6)</f>
        <v>4180</v>
      </c>
      <c r="CN6" s="137"/>
      <c r="CO6" s="112"/>
      <c r="CP6" s="112">
        <v>30</v>
      </c>
      <c r="CQ6" s="112"/>
      <c r="CR6" s="112"/>
      <c r="CS6" s="112"/>
      <c r="CT6" s="112"/>
      <c r="CU6" s="112"/>
      <c r="CV6" s="112"/>
      <c r="CW6" s="112"/>
      <c r="CX6" s="112"/>
      <c r="CY6" s="112"/>
      <c r="CZ6" s="126">
        <v>80</v>
      </c>
      <c r="DA6" s="135">
        <f t="shared" ref="DA6:DA37" si="7">SUM(CN6:CZ6)</f>
        <v>110</v>
      </c>
      <c r="DB6" s="138">
        <f t="shared" ref="DB6:DB37" si="8">CM6-CA6-CB6</f>
        <v>4180</v>
      </c>
      <c r="DC6" s="139">
        <f t="shared" ref="DC6:DC37" si="9">CA6+CB6</f>
        <v>0</v>
      </c>
      <c r="DD6" s="139">
        <f t="shared" ref="DD6:DD37" si="10">BJ6+BR6</f>
        <v>8995</v>
      </c>
      <c r="DE6" s="139">
        <f t="shared" ref="DE6:DE37" si="11">AO6+BB6*0.3</f>
        <v>107543</v>
      </c>
      <c r="DF6" s="139">
        <f t="shared" ref="DF6:DF37" si="12">AP6</f>
        <v>0</v>
      </c>
      <c r="DG6" s="139">
        <f t="shared" ref="DG6:DG37" si="13">AR6</f>
        <v>0</v>
      </c>
      <c r="DH6" s="139">
        <f t="shared" ref="DH6:DH37" si="14">DA6</f>
        <v>110</v>
      </c>
      <c r="DI6" s="140">
        <v>0</v>
      </c>
      <c r="DJ6" s="140">
        <v>0</v>
      </c>
      <c r="DK6" s="139">
        <f t="shared" ref="DK6:DK37" si="15">AQ6+0.3*BD6</f>
        <v>0</v>
      </c>
      <c r="DL6" s="141">
        <v>0</v>
      </c>
      <c r="DM6" s="142">
        <f t="shared" ref="DM6:DM37" si="16">DP6/(DO6+DP6)</f>
        <v>7.4444665143840835E-2</v>
      </c>
      <c r="DN6" s="143"/>
      <c r="DO6" s="144">
        <f t="shared" ref="DO6:DO37" si="17">DB6+DE6+DH6</f>
        <v>111833</v>
      </c>
      <c r="DP6" s="145">
        <f t="shared" ref="DP6:DP37" si="18">DC6+DD6+DF6+DG6+DI6+DJ6+DK6+DL6</f>
        <v>8995</v>
      </c>
    </row>
    <row r="7" spans="1:120">
      <c r="A7" s="146"/>
      <c r="B7" s="318">
        <f t="shared" ref="B7:B38" si="19">DATE(YEAR(B6),MONTH(B6)+1,1)</f>
        <v>42767</v>
      </c>
      <c r="C7" s="150">
        <v>42405</v>
      </c>
      <c r="D7" s="147">
        <v>2000</v>
      </c>
      <c r="E7" s="150">
        <v>23550</v>
      </c>
      <c r="F7" s="324"/>
      <c r="G7" s="147"/>
      <c r="H7" s="150"/>
      <c r="I7" s="147"/>
      <c r="J7" s="150"/>
      <c r="K7" s="150"/>
      <c r="L7" s="150">
        <v>1250</v>
      </c>
      <c r="M7" s="147">
        <v>975</v>
      </c>
      <c r="N7" s="151"/>
      <c r="O7" s="149">
        <v>8355</v>
      </c>
      <c r="P7" s="152">
        <v>6250</v>
      </c>
      <c r="Q7" s="152"/>
      <c r="R7" s="151"/>
      <c r="S7" s="152"/>
      <c r="T7" s="151">
        <v>100</v>
      </c>
      <c r="U7" s="153"/>
      <c r="V7" s="154"/>
      <c r="W7" s="155"/>
      <c r="X7" s="156"/>
      <c r="Y7" s="150">
        <v>1060</v>
      </c>
      <c r="Z7" s="147">
        <v>15</v>
      </c>
      <c r="AA7" s="153"/>
      <c r="AB7" s="154"/>
      <c r="AC7" s="153">
        <v>7560</v>
      </c>
      <c r="AD7" s="154">
        <v>500</v>
      </c>
      <c r="AE7" s="151">
        <v>4000</v>
      </c>
      <c r="AF7" s="151"/>
      <c r="AG7" s="155"/>
      <c r="AH7" s="153">
        <v>1260</v>
      </c>
      <c r="AI7" s="154"/>
      <c r="AJ7" s="150"/>
      <c r="AK7" s="154"/>
      <c r="AL7" s="158"/>
      <c r="AM7" s="158"/>
      <c r="AN7" s="159"/>
      <c r="AO7" s="160">
        <f t="shared" ref="AO7:AO70" si="20">SUM(C7:AL7)-N7</f>
        <v>99280</v>
      </c>
      <c r="AP7" s="161"/>
      <c r="AQ7" s="161">
        <f t="shared" ref="AQ7:AQ70" si="21">AM7+AN7</f>
        <v>0</v>
      </c>
      <c r="AR7" s="161">
        <f t="shared" ref="AR7:AR70" si="22">N7</f>
        <v>0</v>
      </c>
      <c r="AS7" s="162">
        <v>195578</v>
      </c>
      <c r="AT7" s="163">
        <f t="shared" si="1"/>
        <v>1.9699637389202256</v>
      </c>
      <c r="AU7" s="164">
        <v>2520</v>
      </c>
      <c r="AV7" s="165">
        <v>12300</v>
      </c>
      <c r="AW7" s="152">
        <v>330</v>
      </c>
      <c r="AX7" s="156">
        <v>7800</v>
      </c>
      <c r="AY7" s="156">
        <v>1550</v>
      </c>
      <c r="AZ7" s="156">
        <v>100</v>
      </c>
      <c r="BA7" s="166">
        <v>600</v>
      </c>
      <c r="BB7" s="167">
        <f t="shared" si="2"/>
        <v>25200</v>
      </c>
      <c r="BC7" s="168"/>
      <c r="BD7" s="167">
        <f t="shared" si="3"/>
        <v>0</v>
      </c>
      <c r="BE7" s="169">
        <v>950</v>
      </c>
      <c r="BF7" s="170">
        <v>500</v>
      </c>
      <c r="BG7" s="171">
        <v>500</v>
      </c>
      <c r="BH7" s="171">
        <v>2025</v>
      </c>
      <c r="BI7" s="172"/>
      <c r="BJ7" s="173">
        <f t="shared" si="4"/>
        <v>3975</v>
      </c>
      <c r="BK7" s="169">
        <v>3200</v>
      </c>
      <c r="BL7" s="171">
        <v>800</v>
      </c>
      <c r="BM7" s="171">
        <v>3200</v>
      </c>
      <c r="BN7" s="171"/>
      <c r="BO7" s="171"/>
      <c r="BP7" s="174"/>
      <c r="BQ7" s="172">
        <v>1200</v>
      </c>
      <c r="BR7" s="175">
        <f t="shared" si="5"/>
        <v>8400</v>
      </c>
      <c r="BS7" s="164">
        <v>200</v>
      </c>
      <c r="BT7" s="165">
        <v>120</v>
      </c>
      <c r="BU7" s="165"/>
      <c r="BV7" s="165"/>
      <c r="BW7" s="165">
        <v>200</v>
      </c>
      <c r="BX7" s="165">
        <v>1180</v>
      </c>
      <c r="BY7" s="152">
        <v>1240</v>
      </c>
      <c r="BZ7" s="152">
        <v>40</v>
      </c>
      <c r="CA7" s="152"/>
      <c r="CB7" s="152"/>
      <c r="CC7" s="165">
        <v>120</v>
      </c>
      <c r="CD7" s="152">
        <v>40</v>
      </c>
      <c r="CE7" s="165">
        <v>80</v>
      </c>
      <c r="CF7" s="152"/>
      <c r="CG7" s="152"/>
      <c r="CH7" s="152">
        <v>80</v>
      </c>
      <c r="CI7" s="152">
        <v>80</v>
      </c>
      <c r="CJ7" s="152"/>
      <c r="CK7" s="152">
        <v>1380</v>
      </c>
      <c r="CL7" s="166">
        <v>260</v>
      </c>
      <c r="CM7" s="176">
        <f t="shared" si="6"/>
        <v>5020</v>
      </c>
      <c r="CN7" s="177"/>
      <c r="CO7" s="152"/>
      <c r="CP7" s="152"/>
      <c r="CQ7" s="152"/>
      <c r="CR7" s="152">
        <v>50</v>
      </c>
      <c r="CS7" s="152"/>
      <c r="CT7" s="152">
        <v>100</v>
      </c>
      <c r="CU7" s="152"/>
      <c r="CV7" s="152"/>
      <c r="CW7" s="152"/>
      <c r="CX7" s="152"/>
      <c r="CY7" s="152"/>
      <c r="CZ7" s="166"/>
      <c r="DA7" s="175">
        <f t="shared" si="7"/>
        <v>150</v>
      </c>
      <c r="DB7" s="178">
        <f t="shared" si="8"/>
        <v>5020</v>
      </c>
      <c r="DC7" s="155">
        <f t="shared" si="9"/>
        <v>0</v>
      </c>
      <c r="DD7" s="155">
        <f t="shared" si="10"/>
        <v>12375</v>
      </c>
      <c r="DE7" s="155">
        <f t="shared" si="11"/>
        <v>106840</v>
      </c>
      <c r="DF7" s="155">
        <f t="shared" si="12"/>
        <v>0</v>
      </c>
      <c r="DG7" s="155">
        <f t="shared" si="13"/>
        <v>0</v>
      </c>
      <c r="DH7" s="155">
        <f t="shared" si="14"/>
        <v>150</v>
      </c>
      <c r="DI7" s="179">
        <v>0</v>
      </c>
      <c r="DJ7" s="179">
        <v>0</v>
      </c>
      <c r="DK7" s="155">
        <f t="shared" si="15"/>
        <v>0</v>
      </c>
      <c r="DL7" s="180">
        <v>0</v>
      </c>
      <c r="DM7" s="181">
        <f t="shared" si="16"/>
        <v>9.9489488282349159E-2</v>
      </c>
      <c r="DN7" s="182"/>
      <c r="DO7" s="183">
        <f t="shared" si="17"/>
        <v>112010</v>
      </c>
      <c r="DP7" s="184">
        <f t="shared" si="18"/>
        <v>12375</v>
      </c>
    </row>
    <row r="8" spans="1:120" ht="16.5" thickBot="1">
      <c r="A8" s="185"/>
      <c r="B8" s="319">
        <f t="shared" si="19"/>
        <v>42795</v>
      </c>
      <c r="C8" s="204">
        <v>46935</v>
      </c>
      <c r="D8" s="201">
        <v>2000</v>
      </c>
      <c r="E8" s="204">
        <v>28020</v>
      </c>
      <c r="F8" s="325"/>
      <c r="G8" s="201"/>
      <c r="H8" s="204"/>
      <c r="I8" s="201"/>
      <c r="J8" s="150"/>
      <c r="K8" s="150"/>
      <c r="L8" s="150">
        <v>1375</v>
      </c>
      <c r="M8" s="147">
        <v>570</v>
      </c>
      <c r="N8" s="151"/>
      <c r="O8" s="149">
        <v>11010</v>
      </c>
      <c r="P8" s="152">
        <v>8850</v>
      </c>
      <c r="Q8" s="152"/>
      <c r="R8" s="151"/>
      <c r="S8" s="152"/>
      <c r="T8" s="151">
        <v>120</v>
      </c>
      <c r="U8" s="153">
        <v>280</v>
      </c>
      <c r="V8" s="154"/>
      <c r="W8" s="155"/>
      <c r="X8" s="156"/>
      <c r="Y8" s="150">
        <v>700</v>
      </c>
      <c r="Z8" s="147"/>
      <c r="AA8" s="153"/>
      <c r="AB8" s="154"/>
      <c r="AC8" s="153">
        <v>7560</v>
      </c>
      <c r="AD8" s="154">
        <v>500</v>
      </c>
      <c r="AE8" s="151">
        <v>6000</v>
      </c>
      <c r="AF8" s="151"/>
      <c r="AG8" s="155"/>
      <c r="AH8" s="153"/>
      <c r="AI8" s="154"/>
      <c r="AJ8" s="150"/>
      <c r="AK8" s="154">
        <v>1000</v>
      </c>
      <c r="AL8" s="158"/>
      <c r="AM8" s="158"/>
      <c r="AN8" s="159"/>
      <c r="AO8" s="160">
        <f t="shared" si="20"/>
        <v>114920</v>
      </c>
      <c r="AP8" s="161"/>
      <c r="AQ8" s="161">
        <f t="shared" si="21"/>
        <v>0</v>
      </c>
      <c r="AR8" s="161">
        <f t="shared" si="22"/>
        <v>0</v>
      </c>
      <c r="AS8" s="162">
        <v>216667</v>
      </c>
      <c r="AT8" s="163">
        <f t="shared" si="1"/>
        <v>1.8853724329968673</v>
      </c>
      <c r="AU8" s="164">
        <v>2520</v>
      </c>
      <c r="AV8" s="165">
        <v>16240</v>
      </c>
      <c r="AW8" s="152">
        <v>90</v>
      </c>
      <c r="AX8" s="156">
        <v>4050</v>
      </c>
      <c r="AY8" s="156">
        <v>250</v>
      </c>
      <c r="AZ8" s="156"/>
      <c r="BA8" s="166">
        <v>120</v>
      </c>
      <c r="BB8" s="167">
        <f t="shared" si="2"/>
        <v>23270</v>
      </c>
      <c r="BC8" s="168"/>
      <c r="BD8" s="167">
        <f t="shared" si="3"/>
        <v>0</v>
      </c>
      <c r="BE8" s="169">
        <v>900</v>
      </c>
      <c r="BF8" s="170">
        <v>500</v>
      </c>
      <c r="BG8" s="171">
        <v>1500</v>
      </c>
      <c r="BH8" s="171">
        <v>750</v>
      </c>
      <c r="BI8" s="172"/>
      <c r="BJ8" s="173">
        <f t="shared" si="4"/>
        <v>3650</v>
      </c>
      <c r="BK8" s="169">
        <v>3200</v>
      </c>
      <c r="BL8" s="171">
        <v>1780</v>
      </c>
      <c r="BM8" s="171">
        <v>4000</v>
      </c>
      <c r="BN8" s="171"/>
      <c r="BO8" s="171"/>
      <c r="BP8" s="174"/>
      <c r="BQ8" s="172">
        <v>1180</v>
      </c>
      <c r="BR8" s="175">
        <f t="shared" si="5"/>
        <v>10160</v>
      </c>
      <c r="BS8" s="164">
        <v>440</v>
      </c>
      <c r="BT8" s="165">
        <v>140</v>
      </c>
      <c r="BU8" s="165"/>
      <c r="BV8" s="165"/>
      <c r="BW8" s="165">
        <v>320</v>
      </c>
      <c r="BX8" s="165">
        <v>1320</v>
      </c>
      <c r="BY8" s="152">
        <v>1140</v>
      </c>
      <c r="BZ8" s="152">
        <v>100</v>
      </c>
      <c r="CA8" s="152"/>
      <c r="CB8" s="152"/>
      <c r="CC8" s="165"/>
      <c r="CD8" s="152">
        <v>100</v>
      </c>
      <c r="CE8" s="165"/>
      <c r="CF8" s="152"/>
      <c r="CG8" s="152"/>
      <c r="CH8" s="152">
        <v>20</v>
      </c>
      <c r="CI8" s="152"/>
      <c r="CJ8" s="152"/>
      <c r="CK8" s="152">
        <v>1060</v>
      </c>
      <c r="CL8" s="166">
        <v>340</v>
      </c>
      <c r="CM8" s="176">
        <f t="shared" si="6"/>
        <v>4980</v>
      </c>
      <c r="CN8" s="177">
        <v>50</v>
      </c>
      <c r="CO8" s="152">
        <v>10</v>
      </c>
      <c r="CP8" s="152">
        <v>270</v>
      </c>
      <c r="CQ8" s="152"/>
      <c r="CR8" s="152"/>
      <c r="CS8" s="152"/>
      <c r="CT8" s="152"/>
      <c r="CU8" s="152"/>
      <c r="CV8" s="152"/>
      <c r="CW8" s="152"/>
      <c r="CX8" s="152"/>
      <c r="CY8" s="152"/>
      <c r="CZ8" s="166"/>
      <c r="DA8" s="175">
        <f t="shared" si="7"/>
        <v>330</v>
      </c>
      <c r="DB8" s="186">
        <f t="shared" si="8"/>
        <v>4980</v>
      </c>
      <c r="DC8" s="187">
        <f t="shared" si="9"/>
        <v>0</v>
      </c>
      <c r="DD8" s="187">
        <f t="shared" si="10"/>
        <v>13810</v>
      </c>
      <c r="DE8" s="187">
        <f t="shared" si="11"/>
        <v>121901</v>
      </c>
      <c r="DF8" s="187">
        <f t="shared" si="12"/>
        <v>0</v>
      </c>
      <c r="DG8" s="187">
        <f t="shared" si="13"/>
        <v>0</v>
      </c>
      <c r="DH8" s="187">
        <f t="shared" si="14"/>
        <v>330</v>
      </c>
      <c r="DI8" s="188">
        <v>0</v>
      </c>
      <c r="DJ8" s="188">
        <v>0</v>
      </c>
      <c r="DK8" s="187">
        <f t="shared" si="15"/>
        <v>0</v>
      </c>
      <c r="DL8" s="189">
        <v>0</v>
      </c>
      <c r="DM8" s="190">
        <f t="shared" si="16"/>
        <v>9.792867728919806E-2</v>
      </c>
      <c r="DN8" s="182"/>
      <c r="DO8" s="183">
        <f t="shared" si="17"/>
        <v>127211</v>
      </c>
      <c r="DP8" s="184">
        <f t="shared" si="18"/>
        <v>13810</v>
      </c>
    </row>
    <row r="9" spans="1:120">
      <c r="A9" s="191">
        <v>2017</v>
      </c>
      <c r="B9" s="317">
        <f t="shared" si="19"/>
        <v>42826</v>
      </c>
      <c r="C9" s="109">
        <v>43855</v>
      </c>
      <c r="D9" s="106">
        <v>5000</v>
      </c>
      <c r="E9" s="107">
        <v>22680</v>
      </c>
      <c r="F9" s="111">
        <v>1680</v>
      </c>
      <c r="G9" s="107"/>
      <c r="H9" s="109"/>
      <c r="I9" s="106">
        <v>75</v>
      </c>
      <c r="J9" s="109"/>
      <c r="K9" s="109"/>
      <c r="L9" s="109">
        <v>900</v>
      </c>
      <c r="M9" s="106">
        <v>2130</v>
      </c>
      <c r="N9" s="110"/>
      <c r="O9" s="111">
        <v>9780</v>
      </c>
      <c r="P9" s="112">
        <v>6325</v>
      </c>
      <c r="Q9" s="112"/>
      <c r="R9" s="110"/>
      <c r="S9" s="112"/>
      <c r="T9" s="110">
        <v>160</v>
      </c>
      <c r="U9" s="113"/>
      <c r="V9" s="114"/>
      <c r="W9" s="115"/>
      <c r="X9" s="116">
        <v>80</v>
      </c>
      <c r="Y9" s="109">
        <v>780</v>
      </c>
      <c r="Z9" s="106">
        <v>45</v>
      </c>
      <c r="AA9" s="113"/>
      <c r="AB9" s="114"/>
      <c r="AC9" s="113">
        <v>6345</v>
      </c>
      <c r="AD9" s="114">
        <v>500</v>
      </c>
      <c r="AE9" s="110">
        <v>4000</v>
      </c>
      <c r="AF9" s="110"/>
      <c r="AG9" s="115"/>
      <c r="AH9" s="113"/>
      <c r="AI9" s="114"/>
      <c r="AJ9" s="109"/>
      <c r="AK9" s="114">
        <v>1000</v>
      </c>
      <c r="AL9" s="118"/>
      <c r="AM9" s="118"/>
      <c r="AN9" s="119"/>
      <c r="AO9" s="120">
        <f t="shared" si="20"/>
        <v>105335</v>
      </c>
      <c r="AP9" s="121"/>
      <c r="AQ9" s="121">
        <f t="shared" si="21"/>
        <v>0</v>
      </c>
      <c r="AR9" s="121">
        <f t="shared" si="22"/>
        <v>0</v>
      </c>
      <c r="AS9" s="122">
        <v>196384</v>
      </c>
      <c r="AT9" s="123">
        <f t="shared" si="1"/>
        <v>1.8643755636777899</v>
      </c>
      <c r="AU9" s="124">
        <v>3180</v>
      </c>
      <c r="AV9" s="125">
        <v>17790</v>
      </c>
      <c r="AW9" s="112">
        <v>150</v>
      </c>
      <c r="AX9" s="116">
        <v>6650</v>
      </c>
      <c r="AY9" s="116">
        <v>1450</v>
      </c>
      <c r="AZ9" s="116">
        <v>220</v>
      </c>
      <c r="BA9" s="126">
        <v>680</v>
      </c>
      <c r="BB9" s="127">
        <f t="shared" si="2"/>
        <v>30120</v>
      </c>
      <c r="BC9" s="128"/>
      <c r="BD9" s="127">
        <f t="shared" si="3"/>
        <v>0</v>
      </c>
      <c r="BE9" s="129">
        <v>725</v>
      </c>
      <c r="BF9" s="130">
        <v>1500</v>
      </c>
      <c r="BG9" s="131"/>
      <c r="BH9" s="131">
        <v>2300</v>
      </c>
      <c r="BI9" s="132"/>
      <c r="BJ9" s="133">
        <f t="shared" si="4"/>
        <v>4525</v>
      </c>
      <c r="BK9" s="129">
        <v>3200</v>
      </c>
      <c r="BL9" s="131">
        <v>1880</v>
      </c>
      <c r="BM9" s="131">
        <v>3200</v>
      </c>
      <c r="BN9" s="131"/>
      <c r="BO9" s="131"/>
      <c r="BP9" s="134"/>
      <c r="BQ9" s="132">
        <v>1000</v>
      </c>
      <c r="BR9" s="135">
        <f t="shared" si="5"/>
        <v>9280</v>
      </c>
      <c r="BS9" s="124">
        <v>460</v>
      </c>
      <c r="BT9" s="125">
        <v>320</v>
      </c>
      <c r="BU9" s="125"/>
      <c r="BV9" s="125"/>
      <c r="BW9" s="125">
        <v>380</v>
      </c>
      <c r="BX9" s="125">
        <v>1420</v>
      </c>
      <c r="BY9" s="112">
        <v>1220</v>
      </c>
      <c r="BZ9" s="112">
        <v>60</v>
      </c>
      <c r="CA9" s="112"/>
      <c r="CB9" s="112"/>
      <c r="CC9" s="125"/>
      <c r="CD9" s="112"/>
      <c r="CE9" s="125"/>
      <c r="CF9" s="112"/>
      <c r="CG9" s="112"/>
      <c r="CH9" s="112"/>
      <c r="CI9" s="112"/>
      <c r="CJ9" s="112"/>
      <c r="CK9" s="112">
        <v>1080</v>
      </c>
      <c r="CL9" s="126">
        <v>280</v>
      </c>
      <c r="CM9" s="136">
        <f t="shared" si="6"/>
        <v>5220</v>
      </c>
      <c r="CN9" s="137"/>
      <c r="CO9" s="112"/>
      <c r="CP9" s="112">
        <v>150</v>
      </c>
      <c r="CQ9" s="112"/>
      <c r="CR9" s="112">
        <v>40</v>
      </c>
      <c r="CS9" s="112">
        <v>5</v>
      </c>
      <c r="CT9" s="112">
        <v>105</v>
      </c>
      <c r="CU9" s="112"/>
      <c r="CV9" s="112"/>
      <c r="CW9" s="112"/>
      <c r="CX9" s="112"/>
      <c r="CY9" s="112"/>
      <c r="CZ9" s="126"/>
      <c r="DA9" s="135">
        <f t="shared" si="7"/>
        <v>300</v>
      </c>
      <c r="DB9" s="192">
        <f t="shared" si="8"/>
        <v>5220</v>
      </c>
      <c r="DC9" s="115">
        <f t="shared" si="9"/>
        <v>0</v>
      </c>
      <c r="DD9" s="115">
        <f t="shared" si="10"/>
        <v>13805</v>
      </c>
      <c r="DE9" s="115">
        <f t="shared" si="11"/>
        <v>114371</v>
      </c>
      <c r="DF9" s="115">
        <f t="shared" si="12"/>
        <v>0</v>
      </c>
      <c r="DG9" s="115">
        <f t="shared" si="13"/>
        <v>0</v>
      </c>
      <c r="DH9" s="115">
        <f t="shared" si="14"/>
        <v>300</v>
      </c>
      <c r="DI9" s="193">
        <v>0</v>
      </c>
      <c r="DJ9" s="193">
        <v>0</v>
      </c>
      <c r="DK9" s="115">
        <f t="shared" si="15"/>
        <v>0</v>
      </c>
      <c r="DL9" s="194">
        <v>0</v>
      </c>
      <c r="DM9" s="195">
        <f t="shared" si="16"/>
        <v>0.10325664193393969</v>
      </c>
      <c r="DN9" s="143"/>
      <c r="DO9" s="144">
        <f t="shared" si="17"/>
        <v>119891</v>
      </c>
      <c r="DP9" s="145">
        <f t="shared" si="18"/>
        <v>13805</v>
      </c>
    </row>
    <row r="10" spans="1:120">
      <c r="A10" s="146"/>
      <c r="B10" s="318">
        <f t="shared" si="19"/>
        <v>42856</v>
      </c>
      <c r="C10" s="150">
        <v>44445</v>
      </c>
      <c r="D10" s="147">
        <v>2000</v>
      </c>
      <c r="E10" s="148">
        <v>21420</v>
      </c>
      <c r="F10" s="149"/>
      <c r="G10" s="148"/>
      <c r="H10" s="150"/>
      <c r="I10" s="147"/>
      <c r="J10" s="150"/>
      <c r="K10" s="150"/>
      <c r="L10" s="150">
        <v>1050</v>
      </c>
      <c r="M10" s="147">
        <v>1380</v>
      </c>
      <c r="N10" s="151"/>
      <c r="O10" s="149">
        <v>8790</v>
      </c>
      <c r="P10" s="152">
        <v>4750</v>
      </c>
      <c r="Q10" s="152"/>
      <c r="R10" s="151"/>
      <c r="S10" s="152"/>
      <c r="T10" s="151"/>
      <c r="U10" s="153"/>
      <c r="V10" s="154"/>
      <c r="W10" s="155"/>
      <c r="X10" s="156"/>
      <c r="Y10" s="152">
        <v>820</v>
      </c>
      <c r="Z10" s="152">
        <v>90</v>
      </c>
      <c r="AA10" s="153"/>
      <c r="AB10" s="154"/>
      <c r="AC10" s="153">
        <v>7395</v>
      </c>
      <c r="AD10" s="154">
        <v>500</v>
      </c>
      <c r="AE10" s="151">
        <v>4000</v>
      </c>
      <c r="AF10" s="151"/>
      <c r="AG10" s="155"/>
      <c r="AH10" s="153"/>
      <c r="AI10" s="154"/>
      <c r="AJ10" s="150"/>
      <c r="AK10" s="154"/>
      <c r="AL10" s="158"/>
      <c r="AM10" s="158"/>
      <c r="AN10" s="159"/>
      <c r="AO10" s="160">
        <f t="shared" si="20"/>
        <v>96640</v>
      </c>
      <c r="AP10" s="161"/>
      <c r="AQ10" s="161">
        <f t="shared" si="21"/>
        <v>0</v>
      </c>
      <c r="AR10" s="161">
        <f t="shared" si="22"/>
        <v>0</v>
      </c>
      <c r="AS10" s="162">
        <v>153887</v>
      </c>
      <c r="AT10" s="163">
        <f t="shared" si="1"/>
        <v>1.5923737582781456</v>
      </c>
      <c r="AU10" s="164">
        <v>1980</v>
      </c>
      <c r="AV10" s="165">
        <v>14400</v>
      </c>
      <c r="AW10" s="152">
        <v>300</v>
      </c>
      <c r="AX10" s="156">
        <v>4750</v>
      </c>
      <c r="AY10" s="156">
        <v>1350</v>
      </c>
      <c r="AZ10" s="156"/>
      <c r="BA10" s="166"/>
      <c r="BB10" s="167">
        <f t="shared" si="2"/>
        <v>22780</v>
      </c>
      <c r="BC10" s="168"/>
      <c r="BD10" s="167">
        <f t="shared" si="3"/>
        <v>0</v>
      </c>
      <c r="BE10" s="169">
        <v>450</v>
      </c>
      <c r="BF10" s="170">
        <v>1000</v>
      </c>
      <c r="BG10" s="171">
        <v>500</v>
      </c>
      <c r="BH10" s="171">
        <v>850</v>
      </c>
      <c r="BI10" s="172"/>
      <c r="BJ10" s="173">
        <f t="shared" si="4"/>
        <v>2800</v>
      </c>
      <c r="BK10" s="169">
        <v>4800</v>
      </c>
      <c r="BL10" s="171">
        <v>3220</v>
      </c>
      <c r="BM10" s="171">
        <v>4800</v>
      </c>
      <c r="BN10" s="171"/>
      <c r="BO10" s="171"/>
      <c r="BP10" s="174"/>
      <c r="BQ10" s="172">
        <v>800</v>
      </c>
      <c r="BR10" s="175">
        <f t="shared" si="5"/>
        <v>13620</v>
      </c>
      <c r="BS10" s="164">
        <v>280</v>
      </c>
      <c r="BT10" s="165">
        <v>940</v>
      </c>
      <c r="BU10" s="165"/>
      <c r="BV10" s="165"/>
      <c r="BW10" s="165">
        <v>160</v>
      </c>
      <c r="BX10" s="165">
        <v>1240</v>
      </c>
      <c r="BY10" s="152">
        <v>1340</v>
      </c>
      <c r="BZ10" s="152"/>
      <c r="CA10" s="152"/>
      <c r="CB10" s="152"/>
      <c r="CC10" s="165"/>
      <c r="CD10" s="152">
        <v>60</v>
      </c>
      <c r="CE10" s="165"/>
      <c r="CF10" s="152"/>
      <c r="CG10" s="152"/>
      <c r="CH10" s="152">
        <v>40</v>
      </c>
      <c r="CI10" s="152"/>
      <c r="CJ10" s="152"/>
      <c r="CK10" s="152">
        <v>920</v>
      </c>
      <c r="CL10" s="166">
        <v>200</v>
      </c>
      <c r="CM10" s="176">
        <f t="shared" si="6"/>
        <v>5180</v>
      </c>
      <c r="CN10" s="177"/>
      <c r="CO10" s="152"/>
      <c r="CP10" s="152">
        <v>55</v>
      </c>
      <c r="CQ10" s="152"/>
      <c r="CR10" s="152"/>
      <c r="CS10" s="152"/>
      <c r="CT10" s="152"/>
      <c r="CU10" s="152"/>
      <c r="CV10" s="152"/>
      <c r="CW10" s="152"/>
      <c r="CX10" s="152"/>
      <c r="CY10" s="152"/>
      <c r="CZ10" s="166"/>
      <c r="DA10" s="175">
        <f t="shared" si="7"/>
        <v>55</v>
      </c>
      <c r="DB10" s="186">
        <f t="shared" si="8"/>
        <v>5180</v>
      </c>
      <c r="DC10" s="187">
        <f t="shared" si="9"/>
        <v>0</v>
      </c>
      <c r="DD10" s="187">
        <f t="shared" si="10"/>
        <v>16420</v>
      </c>
      <c r="DE10" s="187">
        <f t="shared" si="11"/>
        <v>103474</v>
      </c>
      <c r="DF10" s="187">
        <f t="shared" si="12"/>
        <v>0</v>
      </c>
      <c r="DG10" s="187">
        <f t="shared" si="13"/>
        <v>0</v>
      </c>
      <c r="DH10" s="187">
        <f t="shared" si="14"/>
        <v>55</v>
      </c>
      <c r="DI10" s="188">
        <v>0</v>
      </c>
      <c r="DJ10" s="188">
        <v>0</v>
      </c>
      <c r="DK10" s="187">
        <f t="shared" si="15"/>
        <v>0</v>
      </c>
      <c r="DL10" s="189">
        <v>0</v>
      </c>
      <c r="DM10" s="190">
        <f t="shared" si="16"/>
        <v>0.13122457623732309</v>
      </c>
      <c r="DN10" s="182"/>
      <c r="DO10" s="183">
        <f t="shared" si="17"/>
        <v>108709</v>
      </c>
      <c r="DP10" s="184">
        <f t="shared" si="18"/>
        <v>16420</v>
      </c>
    </row>
    <row r="11" spans="1:120">
      <c r="A11" s="146"/>
      <c r="B11" s="318">
        <f t="shared" si="19"/>
        <v>42887</v>
      </c>
      <c r="C11" s="150">
        <v>51975</v>
      </c>
      <c r="D11" s="147">
        <v>2500</v>
      </c>
      <c r="E11" s="148">
        <v>20355</v>
      </c>
      <c r="F11" s="149"/>
      <c r="G11" s="148"/>
      <c r="H11" s="150"/>
      <c r="I11" s="147"/>
      <c r="J11" s="150"/>
      <c r="K11" s="150"/>
      <c r="L11" s="150">
        <v>1375</v>
      </c>
      <c r="M11" s="147">
        <v>1980</v>
      </c>
      <c r="N11" s="151"/>
      <c r="O11" s="149">
        <v>10680</v>
      </c>
      <c r="P11" s="152">
        <v>6150</v>
      </c>
      <c r="Q11" s="152"/>
      <c r="R11" s="151"/>
      <c r="S11" s="152"/>
      <c r="T11" s="151">
        <v>280</v>
      </c>
      <c r="U11" s="153">
        <v>480</v>
      </c>
      <c r="V11" s="154"/>
      <c r="W11" s="155"/>
      <c r="X11" s="156"/>
      <c r="Y11" s="152">
        <v>1420</v>
      </c>
      <c r="Z11" s="152">
        <v>30</v>
      </c>
      <c r="AA11" s="153"/>
      <c r="AB11" s="154"/>
      <c r="AC11" s="153">
        <v>6705</v>
      </c>
      <c r="AD11" s="154">
        <v>500</v>
      </c>
      <c r="AE11" s="151">
        <v>6000</v>
      </c>
      <c r="AF11" s="151"/>
      <c r="AG11" s="155"/>
      <c r="AH11" s="153"/>
      <c r="AI11" s="154"/>
      <c r="AJ11" s="150"/>
      <c r="AK11" s="154"/>
      <c r="AL11" s="158"/>
      <c r="AM11" s="158"/>
      <c r="AN11" s="159"/>
      <c r="AO11" s="160">
        <f t="shared" si="20"/>
        <v>110430</v>
      </c>
      <c r="AP11" s="161"/>
      <c r="AQ11" s="161">
        <f t="shared" si="21"/>
        <v>0</v>
      </c>
      <c r="AR11" s="161">
        <f t="shared" si="22"/>
        <v>0</v>
      </c>
      <c r="AS11" s="162">
        <v>165663</v>
      </c>
      <c r="AT11" s="163">
        <f t="shared" si="1"/>
        <v>1.5001629991850041</v>
      </c>
      <c r="AU11" s="164">
        <v>1860</v>
      </c>
      <c r="AV11" s="165">
        <v>16830</v>
      </c>
      <c r="AW11" s="152">
        <v>540</v>
      </c>
      <c r="AX11" s="156">
        <v>8500</v>
      </c>
      <c r="AY11" s="156">
        <v>1250</v>
      </c>
      <c r="AZ11" s="156">
        <v>300</v>
      </c>
      <c r="BA11" s="166">
        <v>720</v>
      </c>
      <c r="BB11" s="167">
        <f t="shared" si="2"/>
        <v>30000</v>
      </c>
      <c r="BC11" s="168"/>
      <c r="BD11" s="167">
        <f t="shared" si="3"/>
        <v>0</v>
      </c>
      <c r="BE11" s="169">
        <v>750</v>
      </c>
      <c r="BF11" s="170">
        <v>3000</v>
      </c>
      <c r="BG11" s="171">
        <v>1000</v>
      </c>
      <c r="BH11" s="171">
        <v>1475</v>
      </c>
      <c r="BI11" s="172"/>
      <c r="BJ11" s="173">
        <f t="shared" si="4"/>
        <v>6225</v>
      </c>
      <c r="BK11" s="169">
        <v>2400</v>
      </c>
      <c r="BL11" s="171">
        <v>1000</v>
      </c>
      <c r="BM11" s="171">
        <v>5600</v>
      </c>
      <c r="BN11" s="171"/>
      <c r="BO11" s="171"/>
      <c r="BP11" s="174"/>
      <c r="BQ11" s="172">
        <v>900</v>
      </c>
      <c r="BR11" s="175">
        <f t="shared" si="5"/>
        <v>9900</v>
      </c>
      <c r="BS11" s="164">
        <v>160</v>
      </c>
      <c r="BT11" s="165">
        <v>1060</v>
      </c>
      <c r="BU11" s="165"/>
      <c r="BV11" s="165">
        <v>80</v>
      </c>
      <c r="BW11" s="165">
        <v>40</v>
      </c>
      <c r="BX11" s="165">
        <v>1380</v>
      </c>
      <c r="BY11" s="152">
        <v>1000</v>
      </c>
      <c r="BZ11" s="152"/>
      <c r="CA11" s="152"/>
      <c r="CB11" s="152"/>
      <c r="CC11" s="165">
        <v>160</v>
      </c>
      <c r="CD11" s="152">
        <v>40</v>
      </c>
      <c r="CE11" s="165"/>
      <c r="CF11" s="152"/>
      <c r="CG11" s="152"/>
      <c r="CH11" s="152">
        <v>100</v>
      </c>
      <c r="CI11" s="152"/>
      <c r="CJ11" s="152"/>
      <c r="CK11" s="152">
        <v>1560</v>
      </c>
      <c r="CL11" s="166">
        <v>460</v>
      </c>
      <c r="CM11" s="176">
        <f t="shared" si="6"/>
        <v>6040</v>
      </c>
      <c r="CN11" s="177"/>
      <c r="CO11" s="152"/>
      <c r="CP11" s="152">
        <v>5</v>
      </c>
      <c r="CQ11" s="152"/>
      <c r="CR11" s="152"/>
      <c r="CS11" s="152">
        <v>50</v>
      </c>
      <c r="CT11" s="152">
        <v>100</v>
      </c>
      <c r="CU11" s="152">
        <v>20</v>
      </c>
      <c r="CV11" s="152"/>
      <c r="CW11" s="152"/>
      <c r="CX11" s="152">
        <v>50</v>
      </c>
      <c r="CY11" s="152"/>
      <c r="CZ11" s="166">
        <v>50</v>
      </c>
      <c r="DA11" s="175">
        <f t="shared" si="7"/>
        <v>275</v>
      </c>
      <c r="DB11" s="178">
        <f t="shared" si="8"/>
        <v>6040</v>
      </c>
      <c r="DC11" s="155">
        <f t="shared" si="9"/>
        <v>0</v>
      </c>
      <c r="DD11" s="155">
        <f t="shared" si="10"/>
        <v>16125</v>
      </c>
      <c r="DE11" s="155">
        <f t="shared" si="11"/>
        <v>119430</v>
      </c>
      <c r="DF11" s="155">
        <f t="shared" si="12"/>
        <v>0</v>
      </c>
      <c r="DG11" s="155">
        <f t="shared" si="13"/>
        <v>0</v>
      </c>
      <c r="DH11" s="155">
        <f t="shared" si="14"/>
        <v>275</v>
      </c>
      <c r="DI11" s="179">
        <v>0</v>
      </c>
      <c r="DJ11" s="179">
        <v>0</v>
      </c>
      <c r="DK11" s="155">
        <f t="shared" si="15"/>
        <v>0</v>
      </c>
      <c r="DL11" s="180">
        <v>0</v>
      </c>
      <c r="DM11" s="181">
        <f t="shared" si="16"/>
        <v>0.11366039331782618</v>
      </c>
      <c r="DN11" s="182"/>
      <c r="DO11" s="183">
        <f t="shared" si="17"/>
        <v>125745</v>
      </c>
      <c r="DP11" s="184">
        <f t="shared" si="18"/>
        <v>16125</v>
      </c>
    </row>
    <row r="12" spans="1:120">
      <c r="A12" s="196"/>
      <c r="B12" s="326">
        <f t="shared" si="19"/>
        <v>42917</v>
      </c>
      <c r="C12" s="150">
        <v>40020</v>
      </c>
      <c r="D12" s="147">
        <v>3500</v>
      </c>
      <c r="E12" s="148">
        <v>20145</v>
      </c>
      <c r="F12" s="149"/>
      <c r="G12" s="148"/>
      <c r="H12" s="150"/>
      <c r="I12" s="147"/>
      <c r="J12" s="150"/>
      <c r="K12" s="150"/>
      <c r="L12" s="150">
        <v>1430</v>
      </c>
      <c r="M12" s="147">
        <v>1350</v>
      </c>
      <c r="N12" s="151"/>
      <c r="O12" s="149">
        <v>8460</v>
      </c>
      <c r="P12" s="152">
        <f>(3300+1050+250+250)+4050</f>
        <v>8900</v>
      </c>
      <c r="Q12" s="152"/>
      <c r="R12" s="151"/>
      <c r="S12" s="152"/>
      <c r="T12" s="151">
        <v>120</v>
      </c>
      <c r="U12" s="153"/>
      <c r="V12" s="154"/>
      <c r="W12" s="155"/>
      <c r="X12" s="156"/>
      <c r="Y12" s="152">
        <v>340</v>
      </c>
      <c r="Z12" s="152">
        <v>60</v>
      </c>
      <c r="AA12" s="153"/>
      <c r="AB12" s="154"/>
      <c r="AC12" s="153">
        <v>7515</v>
      </c>
      <c r="AD12" s="154">
        <v>500</v>
      </c>
      <c r="AE12" s="151">
        <v>4000</v>
      </c>
      <c r="AF12" s="151"/>
      <c r="AG12" s="155"/>
      <c r="AH12" s="153"/>
      <c r="AI12" s="154">
        <v>500</v>
      </c>
      <c r="AJ12" s="150"/>
      <c r="AK12" s="154"/>
      <c r="AL12" s="158"/>
      <c r="AM12" s="158"/>
      <c r="AN12" s="159"/>
      <c r="AO12" s="160">
        <f t="shared" si="20"/>
        <v>96840</v>
      </c>
      <c r="AP12" s="161"/>
      <c r="AQ12" s="161">
        <f t="shared" si="21"/>
        <v>0</v>
      </c>
      <c r="AR12" s="161">
        <f t="shared" si="22"/>
        <v>0</v>
      </c>
      <c r="AS12" s="162">
        <v>157707</v>
      </c>
      <c r="AT12" s="163">
        <f t="shared" si="1"/>
        <v>1.6285315985130111</v>
      </c>
      <c r="AU12" s="164">
        <v>1560</v>
      </c>
      <c r="AV12" s="165">
        <v>14040</v>
      </c>
      <c r="AW12" s="152"/>
      <c r="AX12" s="156">
        <v>5700</v>
      </c>
      <c r="AY12" s="156">
        <v>300</v>
      </c>
      <c r="AZ12" s="156"/>
      <c r="BA12" s="166"/>
      <c r="BB12" s="167">
        <f t="shared" si="2"/>
        <v>21600</v>
      </c>
      <c r="BC12" s="168"/>
      <c r="BD12" s="167">
        <f t="shared" si="3"/>
        <v>0</v>
      </c>
      <c r="BE12" s="197">
        <v>600</v>
      </c>
      <c r="BF12" s="154">
        <v>500</v>
      </c>
      <c r="BG12" s="151"/>
      <c r="BH12" s="151">
        <v>900</v>
      </c>
      <c r="BI12" s="198"/>
      <c r="BJ12" s="173">
        <f t="shared" si="4"/>
        <v>2000</v>
      </c>
      <c r="BK12" s="197">
        <v>3200</v>
      </c>
      <c r="BL12" s="151">
        <v>1860</v>
      </c>
      <c r="BM12" s="151">
        <v>3200</v>
      </c>
      <c r="BN12" s="151"/>
      <c r="BO12" s="151"/>
      <c r="BP12" s="199"/>
      <c r="BQ12" s="198">
        <v>760</v>
      </c>
      <c r="BR12" s="175">
        <f t="shared" si="5"/>
        <v>9020</v>
      </c>
      <c r="BS12" s="164">
        <v>140</v>
      </c>
      <c r="BT12" s="165">
        <v>40</v>
      </c>
      <c r="BU12" s="165"/>
      <c r="BV12" s="165"/>
      <c r="BW12" s="165">
        <v>220</v>
      </c>
      <c r="BX12" s="165">
        <v>1260</v>
      </c>
      <c r="BY12" s="152">
        <v>1200</v>
      </c>
      <c r="BZ12" s="152"/>
      <c r="CA12" s="152"/>
      <c r="CB12" s="152"/>
      <c r="CC12" s="165">
        <v>20</v>
      </c>
      <c r="CD12" s="152">
        <v>130</v>
      </c>
      <c r="CE12" s="165">
        <v>20</v>
      </c>
      <c r="CF12" s="152">
        <v>40</v>
      </c>
      <c r="CG12" s="152"/>
      <c r="CH12" s="152"/>
      <c r="CI12" s="152"/>
      <c r="CJ12" s="152"/>
      <c r="CK12" s="152">
        <v>940</v>
      </c>
      <c r="CL12" s="166">
        <v>180</v>
      </c>
      <c r="CM12" s="176">
        <f t="shared" si="6"/>
        <v>4190</v>
      </c>
      <c r="CN12" s="177"/>
      <c r="CO12" s="152"/>
      <c r="CP12" s="152">
        <v>100</v>
      </c>
      <c r="CQ12" s="152"/>
      <c r="CR12" s="152"/>
      <c r="CS12" s="152"/>
      <c r="CT12" s="152">
        <v>20</v>
      </c>
      <c r="CU12" s="152"/>
      <c r="CV12" s="152"/>
      <c r="CW12" s="152"/>
      <c r="CX12" s="152"/>
      <c r="CY12" s="152"/>
      <c r="CZ12" s="166"/>
      <c r="DA12" s="175">
        <f t="shared" si="7"/>
        <v>120</v>
      </c>
      <c r="DB12" s="186">
        <f t="shared" si="8"/>
        <v>4190</v>
      </c>
      <c r="DC12" s="187">
        <f t="shared" si="9"/>
        <v>0</v>
      </c>
      <c r="DD12" s="187">
        <f t="shared" si="10"/>
        <v>11020</v>
      </c>
      <c r="DE12" s="187">
        <f t="shared" si="11"/>
        <v>103320</v>
      </c>
      <c r="DF12" s="187">
        <f t="shared" si="12"/>
        <v>0</v>
      </c>
      <c r="DG12" s="187">
        <f t="shared" si="13"/>
        <v>0</v>
      </c>
      <c r="DH12" s="187">
        <f t="shared" si="14"/>
        <v>120</v>
      </c>
      <c r="DI12" s="188">
        <v>0</v>
      </c>
      <c r="DJ12" s="188">
        <v>0</v>
      </c>
      <c r="DK12" s="187">
        <f t="shared" si="15"/>
        <v>0</v>
      </c>
      <c r="DL12" s="189">
        <v>0</v>
      </c>
      <c r="DM12" s="190">
        <f t="shared" si="16"/>
        <v>9.2878213232195528E-2</v>
      </c>
      <c r="DN12" s="180"/>
      <c r="DO12" s="200">
        <f t="shared" si="17"/>
        <v>107630</v>
      </c>
      <c r="DP12" s="159">
        <f t="shared" si="18"/>
        <v>11020</v>
      </c>
    </row>
    <row r="13" spans="1:120">
      <c r="A13" s="146"/>
      <c r="B13" s="318">
        <f t="shared" si="19"/>
        <v>42948</v>
      </c>
      <c r="C13" s="150">
        <v>37260</v>
      </c>
      <c r="D13" s="147">
        <v>2500</v>
      </c>
      <c r="E13" s="148">
        <v>20160</v>
      </c>
      <c r="F13" s="149"/>
      <c r="G13" s="148"/>
      <c r="H13" s="150"/>
      <c r="I13" s="147">
        <v>150</v>
      </c>
      <c r="J13" s="150"/>
      <c r="K13" s="150"/>
      <c r="L13" s="150">
        <v>1100</v>
      </c>
      <c r="M13" s="147">
        <v>1440</v>
      </c>
      <c r="N13" s="151"/>
      <c r="O13" s="149">
        <v>10050</v>
      </c>
      <c r="P13" s="152">
        <v>6238</v>
      </c>
      <c r="Q13" s="152"/>
      <c r="R13" s="151"/>
      <c r="S13" s="152"/>
      <c r="T13" s="151">
        <v>160</v>
      </c>
      <c r="U13" s="153"/>
      <c r="V13" s="154"/>
      <c r="W13" s="155"/>
      <c r="X13" s="156"/>
      <c r="Y13" s="152">
        <v>1420</v>
      </c>
      <c r="Z13" s="152">
        <v>120</v>
      </c>
      <c r="AA13" s="153"/>
      <c r="AB13" s="154"/>
      <c r="AC13" s="153">
        <v>4245</v>
      </c>
      <c r="AD13" s="154"/>
      <c r="AE13" s="151">
        <v>4000</v>
      </c>
      <c r="AF13" s="151"/>
      <c r="AG13" s="155"/>
      <c r="AH13" s="153"/>
      <c r="AI13" s="154"/>
      <c r="AJ13" s="150"/>
      <c r="AK13" s="154">
        <v>1000</v>
      </c>
      <c r="AL13" s="158"/>
      <c r="AM13" s="158"/>
      <c r="AN13" s="159"/>
      <c r="AO13" s="160">
        <f t="shared" si="20"/>
        <v>89843</v>
      </c>
      <c r="AP13" s="161"/>
      <c r="AQ13" s="161">
        <f t="shared" si="21"/>
        <v>0</v>
      </c>
      <c r="AR13" s="161">
        <f t="shared" si="22"/>
        <v>0</v>
      </c>
      <c r="AS13" s="162">
        <v>169994</v>
      </c>
      <c r="AT13" s="163">
        <f t="shared" si="1"/>
        <v>1.8921229255479002</v>
      </c>
      <c r="AU13" s="164">
        <v>2340</v>
      </c>
      <c r="AV13" s="165">
        <v>9810</v>
      </c>
      <c r="AW13" s="152">
        <v>210</v>
      </c>
      <c r="AX13" s="156">
        <v>4500</v>
      </c>
      <c r="AY13" s="156">
        <v>350</v>
      </c>
      <c r="AZ13" s="156">
        <v>140</v>
      </c>
      <c r="BA13" s="166">
        <v>280</v>
      </c>
      <c r="BB13" s="167">
        <f t="shared" si="2"/>
        <v>17630</v>
      </c>
      <c r="BC13" s="168"/>
      <c r="BD13" s="167">
        <f t="shared" si="3"/>
        <v>0</v>
      </c>
      <c r="BE13" s="169">
        <v>900</v>
      </c>
      <c r="BF13" s="170">
        <v>1000</v>
      </c>
      <c r="BG13" s="171">
        <v>500</v>
      </c>
      <c r="BH13" s="171">
        <v>1625</v>
      </c>
      <c r="BI13" s="172"/>
      <c r="BJ13" s="173">
        <f t="shared" si="4"/>
        <v>4025</v>
      </c>
      <c r="BK13" s="169">
        <v>2400</v>
      </c>
      <c r="BL13" s="171">
        <v>2000</v>
      </c>
      <c r="BM13" s="171">
        <v>3200</v>
      </c>
      <c r="BN13" s="171"/>
      <c r="BO13" s="171"/>
      <c r="BP13" s="174"/>
      <c r="BQ13" s="172">
        <v>980</v>
      </c>
      <c r="BR13" s="175">
        <f t="shared" si="5"/>
        <v>8580</v>
      </c>
      <c r="BS13" s="164">
        <v>320</v>
      </c>
      <c r="BT13" s="165">
        <v>40</v>
      </c>
      <c r="BU13" s="165"/>
      <c r="BV13" s="165"/>
      <c r="BW13" s="165">
        <v>260</v>
      </c>
      <c r="BX13" s="165">
        <v>1000</v>
      </c>
      <c r="BY13" s="152">
        <v>1080</v>
      </c>
      <c r="BZ13" s="152"/>
      <c r="CA13" s="152"/>
      <c r="CB13" s="152"/>
      <c r="CC13" s="165"/>
      <c r="CD13" s="152"/>
      <c r="CE13" s="165">
        <v>50</v>
      </c>
      <c r="CF13" s="152"/>
      <c r="CG13" s="152"/>
      <c r="CH13" s="152"/>
      <c r="CI13" s="152"/>
      <c r="CJ13" s="152"/>
      <c r="CK13" s="152">
        <v>860</v>
      </c>
      <c r="CL13" s="166">
        <v>240</v>
      </c>
      <c r="CM13" s="176">
        <f t="shared" si="6"/>
        <v>3850</v>
      </c>
      <c r="CN13" s="177"/>
      <c r="CO13" s="152"/>
      <c r="CP13" s="152">
        <v>30</v>
      </c>
      <c r="CQ13" s="152"/>
      <c r="CR13" s="152"/>
      <c r="CS13" s="152"/>
      <c r="CT13" s="152"/>
      <c r="CU13" s="152"/>
      <c r="CV13" s="152"/>
      <c r="CW13" s="152"/>
      <c r="CX13" s="152"/>
      <c r="CY13" s="152"/>
      <c r="CZ13" s="166"/>
      <c r="DA13" s="175">
        <f t="shared" si="7"/>
        <v>30</v>
      </c>
      <c r="DB13" s="178">
        <f t="shared" si="8"/>
        <v>3850</v>
      </c>
      <c r="DC13" s="155">
        <f t="shared" si="9"/>
        <v>0</v>
      </c>
      <c r="DD13" s="155">
        <f t="shared" si="10"/>
        <v>12605</v>
      </c>
      <c r="DE13" s="155">
        <f t="shared" si="11"/>
        <v>95132</v>
      </c>
      <c r="DF13" s="155">
        <f t="shared" si="12"/>
        <v>0</v>
      </c>
      <c r="DG13" s="155">
        <f t="shared" si="13"/>
        <v>0</v>
      </c>
      <c r="DH13" s="155">
        <f t="shared" si="14"/>
        <v>30</v>
      </c>
      <c r="DI13" s="179">
        <v>0</v>
      </c>
      <c r="DJ13" s="179">
        <v>0</v>
      </c>
      <c r="DK13" s="155">
        <f t="shared" si="15"/>
        <v>0</v>
      </c>
      <c r="DL13" s="180">
        <v>0</v>
      </c>
      <c r="DM13" s="181">
        <f t="shared" si="16"/>
        <v>0.11293082594945214</v>
      </c>
      <c r="DN13" s="182"/>
      <c r="DO13" s="183">
        <f t="shared" si="17"/>
        <v>99012</v>
      </c>
      <c r="DP13" s="184">
        <f t="shared" si="18"/>
        <v>12605</v>
      </c>
    </row>
    <row r="14" spans="1:120">
      <c r="A14" s="146"/>
      <c r="B14" s="318">
        <f t="shared" si="19"/>
        <v>42979</v>
      </c>
      <c r="C14" s="150">
        <v>42495</v>
      </c>
      <c r="D14" s="147">
        <v>2000</v>
      </c>
      <c r="E14" s="148">
        <v>20400</v>
      </c>
      <c r="F14" s="149"/>
      <c r="G14" s="148"/>
      <c r="H14" s="150"/>
      <c r="I14" s="147"/>
      <c r="J14" s="150"/>
      <c r="K14" s="150"/>
      <c r="L14" s="150">
        <v>725</v>
      </c>
      <c r="M14" s="147">
        <v>1575</v>
      </c>
      <c r="N14" s="151"/>
      <c r="O14" s="149">
        <v>11010</v>
      </c>
      <c r="P14" s="152">
        <v>5100</v>
      </c>
      <c r="Q14" s="152"/>
      <c r="R14" s="151"/>
      <c r="S14" s="152"/>
      <c r="T14" s="151">
        <v>100</v>
      </c>
      <c r="U14" s="153"/>
      <c r="V14" s="154"/>
      <c r="W14" s="155"/>
      <c r="X14" s="156"/>
      <c r="Y14" s="152">
        <v>760</v>
      </c>
      <c r="Z14" s="152">
        <v>30</v>
      </c>
      <c r="AA14" s="153"/>
      <c r="AB14" s="154"/>
      <c r="AC14" s="153">
        <v>6390</v>
      </c>
      <c r="AD14" s="154"/>
      <c r="AE14" s="151">
        <v>2000</v>
      </c>
      <c r="AF14" s="151"/>
      <c r="AG14" s="155"/>
      <c r="AH14" s="153"/>
      <c r="AI14" s="154"/>
      <c r="AJ14" s="150"/>
      <c r="AK14" s="154"/>
      <c r="AL14" s="158"/>
      <c r="AM14" s="158">
        <v>200</v>
      </c>
      <c r="AN14" s="159"/>
      <c r="AO14" s="160">
        <f t="shared" si="20"/>
        <v>92585</v>
      </c>
      <c r="AP14" s="161"/>
      <c r="AQ14" s="161">
        <f t="shared" si="21"/>
        <v>200</v>
      </c>
      <c r="AR14" s="161">
        <f t="shared" si="22"/>
        <v>0</v>
      </c>
      <c r="AS14" s="162">
        <v>173703</v>
      </c>
      <c r="AT14" s="163">
        <f t="shared" si="1"/>
        <v>1.8721021716872339</v>
      </c>
      <c r="AU14" s="164">
        <v>2880</v>
      </c>
      <c r="AV14" s="165">
        <v>13740</v>
      </c>
      <c r="AW14" s="152">
        <v>150</v>
      </c>
      <c r="AX14" s="156">
        <v>7150</v>
      </c>
      <c r="AY14" s="156">
        <v>2750</v>
      </c>
      <c r="AZ14" s="156">
        <v>100</v>
      </c>
      <c r="BA14" s="166">
        <v>560</v>
      </c>
      <c r="BB14" s="167">
        <f t="shared" si="2"/>
        <v>27330</v>
      </c>
      <c r="BC14" s="168">
        <v>120</v>
      </c>
      <c r="BD14" s="167">
        <f t="shared" si="3"/>
        <v>120</v>
      </c>
      <c r="BE14" s="169">
        <v>650</v>
      </c>
      <c r="BF14" s="170"/>
      <c r="BG14" s="171"/>
      <c r="BH14" s="171">
        <v>825</v>
      </c>
      <c r="BI14" s="172"/>
      <c r="BJ14" s="173">
        <f t="shared" si="4"/>
        <v>1475</v>
      </c>
      <c r="BK14" s="169">
        <v>1500</v>
      </c>
      <c r="BL14" s="171">
        <v>2680</v>
      </c>
      <c r="BM14" s="171">
        <v>1600</v>
      </c>
      <c r="BN14" s="171"/>
      <c r="BO14" s="171"/>
      <c r="BP14" s="174"/>
      <c r="BQ14" s="172">
        <v>1040</v>
      </c>
      <c r="BR14" s="175">
        <f t="shared" si="5"/>
        <v>6820</v>
      </c>
      <c r="BS14" s="164">
        <v>260</v>
      </c>
      <c r="BT14" s="165">
        <v>40</v>
      </c>
      <c r="BU14" s="165"/>
      <c r="BV14" s="165">
        <v>100</v>
      </c>
      <c r="BW14" s="165">
        <v>100</v>
      </c>
      <c r="BX14" s="165">
        <v>1200</v>
      </c>
      <c r="BY14" s="152">
        <v>1440</v>
      </c>
      <c r="BZ14" s="152"/>
      <c r="CA14" s="152"/>
      <c r="CB14" s="152"/>
      <c r="CC14" s="165"/>
      <c r="CD14" s="152">
        <v>100</v>
      </c>
      <c r="CE14" s="165"/>
      <c r="CF14" s="152"/>
      <c r="CG14" s="152"/>
      <c r="CH14" s="152">
        <v>80</v>
      </c>
      <c r="CI14" s="152"/>
      <c r="CJ14" s="152"/>
      <c r="CK14" s="152">
        <v>1360</v>
      </c>
      <c r="CL14" s="166">
        <v>280</v>
      </c>
      <c r="CM14" s="176">
        <f t="shared" si="6"/>
        <v>4960</v>
      </c>
      <c r="CN14" s="177"/>
      <c r="CO14" s="152"/>
      <c r="CP14" s="152">
        <v>90</v>
      </c>
      <c r="CQ14" s="152"/>
      <c r="CR14" s="152">
        <v>200</v>
      </c>
      <c r="CS14" s="152"/>
      <c r="CT14" s="152">
        <v>200</v>
      </c>
      <c r="CU14" s="152"/>
      <c r="CV14" s="152"/>
      <c r="CW14" s="152"/>
      <c r="CX14" s="152"/>
      <c r="CY14" s="152"/>
      <c r="CZ14" s="166"/>
      <c r="DA14" s="175">
        <f t="shared" si="7"/>
        <v>490</v>
      </c>
      <c r="DB14" s="186">
        <f t="shared" si="8"/>
        <v>4960</v>
      </c>
      <c r="DC14" s="187">
        <f t="shared" si="9"/>
        <v>0</v>
      </c>
      <c r="DD14" s="187">
        <f t="shared" si="10"/>
        <v>8295</v>
      </c>
      <c r="DE14" s="187">
        <f t="shared" si="11"/>
        <v>100784</v>
      </c>
      <c r="DF14" s="187">
        <f t="shared" si="12"/>
        <v>0</v>
      </c>
      <c r="DG14" s="187">
        <f t="shared" si="13"/>
        <v>0</v>
      </c>
      <c r="DH14" s="187">
        <f t="shared" si="14"/>
        <v>490</v>
      </c>
      <c r="DI14" s="188">
        <v>0</v>
      </c>
      <c r="DJ14" s="188">
        <v>0</v>
      </c>
      <c r="DK14" s="187">
        <f t="shared" si="15"/>
        <v>236</v>
      </c>
      <c r="DL14" s="189">
        <v>0</v>
      </c>
      <c r="DM14" s="190">
        <f t="shared" si="16"/>
        <v>7.4334509650154659E-2</v>
      </c>
      <c r="DN14" s="182"/>
      <c r="DO14" s="183">
        <f t="shared" si="17"/>
        <v>106234</v>
      </c>
      <c r="DP14" s="184">
        <f t="shared" si="18"/>
        <v>8531</v>
      </c>
    </row>
    <row r="15" spans="1:120">
      <c r="A15" s="146"/>
      <c r="B15" s="318">
        <f t="shared" si="19"/>
        <v>43009</v>
      </c>
      <c r="C15" s="150">
        <v>38895</v>
      </c>
      <c r="D15" s="147">
        <v>3500</v>
      </c>
      <c r="E15" s="148">
        <v>21420</v>
      </c>
      <c r="F15" s="149"/>
      <c r="G15" s="148"/>
      <c r="H15" s="150"/>
      <c r="I15" s="147"/>
      <c r="J15" s="150"/>
      <c r="K15" s="150"/>
      <c r="L15" s="150">
        <v>450</v>
      </c>
      <c r="M15" s="147">
        <v>1680</v>
      </c>
      <c r="N15" s="151"/>
      <c r="O15" s="149">
        <v>12240</v>
      </c>
      <c r="P15" s="152">
        <v>16525</v>
      </c>
      <c r="Q15" s="152"/>
      <c r="R15" s="151"/>
      <c r="S15" s="152"/>
      <c r="T15" s="151">
        <v>100</v>
      </c>
      <c r="U15" s="153"/>
      <c r="V15" s="154"/>
      <c r="W15" s="155"/>
      <c r="X15" s="156"/>
      <c r="Y15" s="152">
        <v>940</v>
      </c>
      <c r="Z15" s="152">
        <v>75</v>
      </c>
      <c r="AA15" s="153"/>
      <c r="AB15" s="154"/>
      <c r="AC15" s="153">
        <v>5040</v>
      </c>
      <c r="AD15" s="154">
        <v>500</v>
      </c>
      <c r="AE15" s="151">
        <v>4000</v>
      </c>
      <c r="AF15" s="151"/>
      <c r="AG15" s="155"/>
      <c r="AH15" s="153"/>
      <c r="AI15" s="154"/>
      <c r="AJ15" s="150"/>
      <c r="AK15" s="154"/>
      <c r="AL15" s="158"/>
      <c r="AM15" s="158">
        <v>200</v>
      </c>
      <c r="AN15" s="159"/>
      <c r="AO15" s="160">
        <f t="shared" si="20"/>
        <v>105365</v>
      </c>
      <c r="AP15" s="161"/>
      <c r="AQ15" s="161">
        <f t="shared" si="21"/>
        <v>200</v>
      </c>
      <c r="AR15" s="161">
        <f t="shared" si="22"/>
        <v>0</v>
      </c>
      <c r="AS15" s="162">
        <v>187405</v>
      </c>
      <c r="AT15" s="163">
        <f t="shared" si="1"/>
        <v>1.7752569506938853</v>
      </c>
      <c r="AU15" s="164">
        <v>3060</v>
      </c>
      <c r="AV15" s="165">
        <v>11760</v>
      </c>
      <c r="AW15" s="152">
        <v>100</v>
      </c>
      <c r="AX15" s="156">
        <v>7000</v>
      </c>
      <c r="AY15" s="156">
        <v>500</v>
      </c>
      <c r="AZ15" s="156">
        <v>100</v>
      </c>
      <c r="BA15" s="166">
        <v>200</v>
      </c>
      <c r="BB15" s="167">
        <f t="shared" si="2"/>
        <v>22720</v>
      </c>
      <c r="BC15" s="168">
        <v>120</v>
      </c>
      <c r="BD15" s="167">
        <f t="shared" si="3"/>
        <v>120</v>
      </c>
      <c r="BE15" s="169">
        <v>300</v>
      </c>
      <c r="BF15" s="170">
        <v>2000</v>
      </c>
      <c r="BG15" s="171">
        <v>1000</v>
      </c>
      <c r="BH15" s="171">
        <v>650</v>
      </c>
      <c r="BI15" s="172"/>
      <c r="BJ15" s="173">
        <f t="shared" si="4"/>
        <v>3950</v>
      </c>
      <c r="BK15" s="169">
        <v>800</v>
      </c>
      <c r="BL15" s="171">
        <v>920</v>
      </c>
      <c r="BM15" s="171">
        <v>1600</v>
      </c>
      <c r="BN15" s="171"/>
      <c r="BO15" s="171"/>
      <c r="BP15" s="174"/>
      <c r="BQ15" s="172">
        <v>640</v>
      </c>
      <c r="BR15" s="175">
        <f t="shared" si="5"/>
        <v>3960</v>
      </c>
      <c r="BS15" s="164">
        <v>220</v>
      </c>
      <c r="BT15" s="165">
        <v>40</v>
      </c>
      <c r="BU15" s="165"/>
      <c r="BV15" s="165">
        <v>20</v>
      </c>
      <c r="BW15" s="165">
        <v>160</v>
      </c>
      <c r="BX15" s="165">
        <v>1000</v>
      </c>
      <c r="BY15" s="152">
        <v>1140</v>
      </c>
      <c r="BZ15" s="152">
        <v>20</v>
      </c>
      <c r="CA15" s="152"/>
      <c r="CB15" s="152"/>
      <c r="CC15" s="165"/>
      <c r="CD15" s="152">
        <v>130</v>
      </c>
      <c r="CE15" s="165">
        <v>50</v>
      </c>
      <c r="CF15" s="152"/>
      <c r="CG15" s="152"/>
      <c r="CH15" s="152">
        <v>100</v>
      </c>
      <c r="CI15" s="152">
        <v>160</v>
      </c>
      <c r="CJ15" s="152"/>
      <c r="CK15" s="152">
        <v>1140</v>
      </c>
      <c r="CL15" s="166">
        <v>400</v>
      </c>
      <c r="CM15" s="176">
        <f t="shared" si="6"/>
        <v>4580</v>
      </c>
      <c r="CN15" s="177"/>
      <c r="CO15" s="152"/>
      <c r="CP15" s="152">
        <v>145</v>
      </c>
      <c r="CQ15" s="152"/>
      <c r="CR15" s="152"/>
      <c r="CS15" s="152"/>
      <c r="CT15" s="152"/>
      <c r="CU15" s="152"/>
      <c r="CV15" s="152"/>
      <c r="CW15" s="152"/>
      <c r="CX15" s="152"/>
      <c r="CY15" s="152"/>
      <c r="CZ15" s="166"/>
      <c r="DA15" s="175">
        <f t="shared" si="7"/>
        <v>145</v>
      </c>
      <c r="DB15" s="178">
        <f t="shared" si="8"/>
        <v>4580</v>
      </c>
      <c r="DC15" s="155">
        <f t="shared" si="9"/>
        <v>0</v>
      </c>
      <c r="DD15" s="155">
        <f t="shared" si="10"/>
        <v>7910</v>
      </c>
      <c r="DE15" s="155">
        <f t="shared" si="11"/>
        <v>112181</v>
      </c>
      <c r="DF15" s="155">
        <f t="shared" si="12"/>
        <v>0</v>
      </c>
      <c r="DG15" s="155">
        <f t="shared" si="13"/>
        <v>0</v>
      </c>
      <c r="DH15" s="155">
        <f t="shared" si="14"/>
        <v>145</v>
      </c>
      <c r="DI15" s="179">
        <v>0</v>
      </c>
      <c r="DJ15" s="179">
        <v>0</v>
      </c>
      <c r="DK15" s="155">
        <f t="shared" si="15"/>
        <v>236</v>
      </c>
      <c r="DL15" s="180">
        <v>0</v>
      </c>
      <c r="DM15" s="181">
        <f t="shared" si="16"/>
        <v>6.5140901385023833E-2</v>
      </c>
      <c r="DN15" s="182"/>
      <c r="DO15" s="183">
        <f t="shared" si="17"/>
        <v>116906</v>
      </c>
      <c r="DP15" s="184">
        <f t="shared" si="18"/>
        <v>8146</v>
      </c>
    </row>
    <row r="16" spans="1:120">
      <c r="A16" s="146"/>
      <c r="B16" s="318">
        <f t="shared" si="19"/>
        <v>43040</v>
      </c>
      <c r="C16" s="150">
        <v>32010</v>
      </c>
      <c r="D16" s="147">
        <v>3500</v>
      </c>
      <c r="E16" s="148">
        <v>21420</v>
      </c>
      <c r="F16" s="149"/>
      <c r="G16" s="148"/>
      <c r="H16" s="150"/>
      <c r="I16" s="147"/>
      <c r="J16" s="150"/>
      <c r="K16" s="150"/>
      <c r="L16" s="150">
        <v>975</v>
      </c>
      <c r="M16" s="147">
        <v>1695</v>
      </c>
      <c r="N16" s="151"/>
      <c r="O16" s="149">
        <v>10410</v>
      </c>
      <c r="P16" s="152">
        <v>22338</v>
      </c>
      <c r="Q16" s="152"/>
      <c r="R16" s="151"/>
      <c r="S16" s="152"/>
      <c r="T16" s="151">
        <v>240</v>
      </c>
      <c r="U16" s="153"/>
      <c r="V16" s="154"/>
      <c r="W16" s="155"/>
      <c r="X16" s="156"/>
      <c r="Y16" s="152">
        <v>580</v>
      </c>
      <c r="Z16" s="152"/>
      <c r="AA16" s="153"/>
      <c r="AB16" s="154"/>
      <c r="AC16" s="153">
        <v>5040</v>
      </c>
      <c r="AD16" s="154">
        <v>1500</v>
      </c>
      <c r="AE16" s="151">
        <v>4000</v>
      </c>
      <c r="AF16" s="151"/>
      <c r="AG16" s="155"/>
      <c r="AH16" s="153"/>
      <c r="AI16" s="154"/>
      <c r="AJ16" s="150"/>
      <c r="AK16" s="154">
        <v>1000</v>
      </c>
      <c r="AL16" s="158"/>
      <c r="AM16" s="158"/>
      <c r="AN16" s="159"/>
      <c r="AO16" s="160">
        <f t="shared" si="20"/>
        <v>104708</v>
      </c>
      <c r="AP16" s="161"/>
      <c r="AQ16" s="161">
        <f t="shared" si="21"/>
        <v>0</v>
      </c>
      <c r="AR16" s="161">
        <f t="shared" si="22"/>
        <v>0</v>
      </c>
      <c r="AS16" s="162">
        <v>184871</v>
      </c>
      <c r="AT16" s="163">
        <f t="shared" si="1"/>
        <v>1.7655862016273829</v>
      </c>
      <c r="AU16" s="164">
        <v>2340</v>
      </c>
      <c r="AV16" s="165">
        <v>11880</v>
      </c>
      <c r="AW16" s="152">
        <v>150</v>
      </c>
      <c r="AX16" s="156">
        <v>3500</v>
      </c>
      <c r="AY16" s="156">
        <v>750</v>
      </c>
      <c r="AZ16" s="156">
        <v>100</v>
      </c>
      <c r="BA16" s="166"/>
      <c r="BB16" s="167">
        <f t="shared" si="2"/>
        <v>18720</v>
      </c>
      <c r="BC16" s="168"/>
      <c r="BD16" s="167">
        <f t="shared" si="3"/>
        <v>0</v>
      </c>
      <c r="BE16" s="169"/>
      <c r="BF16" s="170"/>
      <c r="BG16" s="171"/>
      <c r="BH16" s="171">
        <v>1325</v>
      </c>
      <c r="BI16" s="172"/>
      <c r="BJ16" s="173">
        <f t="shared" si="4"/>
        <v>1325</v>
      </c>
      <c r="BK16" s="169">
        <v>1600</v>
      </c>
      <c r="BL16" s="171">
        <v>1620</v>
      </c>
      <c r="BM16" s="171">
        <v>1600</v>
      </c>
      <c r="BN16" s="171"/>
      <c r="BO16" s="171"/>
      <c r="BP16" s="174"/>
      <c r="BQ16" s="172"/>
      <c r="BR16" s="175">
        <f t="shared" si="5"/>
        <v>4820</v>
      </c>
      <c r="BS16" s="164">
        <v>60</v>
      </c>
      <c r="BT16" s="165"/>
      <c r="BU16" s="165"/>
      <c r="BV16" s="165">
        <v>40</v>
      </c>
      <c r="BW16" s="165">
        <v>60</v>
      </c>
      <c r="BX16" s="165">
        <v>1200</v>
      </c>
      <c r="BY16" s="152">
        <v>520</v>
      </c>
      <c r="BZ16" s="152">
        <v>60</v>
      </c>
      <c r="CA16" s="152"/>
      <c r="CB16" s="152"/>
      <c r="CC16" s="165">
        <v>20</v>
      </c>
      <c r="CD16" s="152">
        <v>140</v>
      </c>
      <c r="CE16" s="165"/>
      <c r="CF16" s="152"/>
      <c r="CG16" s="152"/>
      <c r="CH16" s="152"/>
      <c r="CI16" s="152"/>
      <c r="CJ16" s="152"/>
      <c r="CK16" s="152">
        <v>800</v>
      </c>
      <c r="CL16" s="166">
        <v>100</v>
      </c>
      <c r="CM16" s="176">
        <f t="shared" si="6"/>
        <v>3000</v>
      </c>
      <c r="CN16" s="177"/>
      <c r="CO16" s="152"/>
      <c r="CP16" s="152">
        <v>350</v>
      </c>
      <c r="CQ16" s="152"/>
      <c r="CR16" s="152"/>
      <c r="CS16" s="152"/>
      <c r="CT16" s="152"/>
      <c r="CU16" s="152"/>
      <c r="CV16" s="152"/>
      <c r="CW16" s="152"/>
      <c r="CX16" s="152">
        <v>25</v>
      </c>
      <c r="CY16" s="152"/>
      <c r="CZ16" s="166"/>
      <c r="DA16" s="175">
        <f t="shared" si="7"/>
        <v>375</v>
      </c>
      <c r="DB16" s="186">
        <f t="shared" si="8"/>
        <v>3000</v>
      </c>
      <c r="DC16" s="187">
        <f t="shared" si="9"/>
        <v>0</v>
      </c>
      <c r="DD16" s="187">
        <f t="shared" si="10"/>
        <v>6145</v>
      </c>
      <c r="DE16" s="187">
        <f t="shared" si="11"/>
        <v>110324</v>
      </c>
      <c r="DF16" s="187">
        <f t="shared" si="12"/>
        <v>0</v>
      </c>
      <c r="DG16" s="187">
        <f t="shared" si="13"/>
        <v>0</v>
      </c>
      <c r="DH16" s="187">
        <f t="shared" si="14"/>
        <v>375</v>
      </c>
      <c r="DI16" s="188">
        <v>0</v>
      </c>
      <c r="DJ16" s="188">
        <v>0</v>
      </c>
      <c r="DK16" s="187">
        <f t="shared" si="15"/>
        <v>0</v>
      </c>
      <c r="DL16" s="189">
        <v>0</v>
      </c>
      <c r="DM16" s="190">
        <f t="shared" si="16"/>
        <v>5.1274990821401155E-2</v>
      </c>
      <c r="DN16" s="182"/>
      <c r="DO16" s="183">
        <f t="shared" si="17"/>
        <v>113699</v>
      </c>
      <c r="DP16" s="184">
        <f t="shared" si="18"/>
        <v>6145</v>
      </c>
    </row>
    <row r="17" spans="1:120">
      <c r="A17" s="146"/>
      <c r="B17" s="318">
        <f t="shared" si="19"/>
        <v>43070</v>
      </c>
      <c r="C17" s="150">
        <v>39045</v>
      </c>
      <c r="D17" s="147">
        <v>2000</v>
      </c>
      <c r="E17" s="148">
        <v>16380</v>
      </c>
      <c r="F17" s="149"/>
      <c r="G17" s="148"/>
      <c r="H17" s="150"/>
      <c r="I17" s="147"/>
      <c r="J17" s="150"/>
      <c r="K17" s="150"/>
      <c r="L17" s="150">
        <v>650</v>
      </c>
      <c r="M17" s="147">
        <v>1140</v>
      </c>
      <c r="N17" s="151"/>
      <c r="O17" s="149">
        <v>11160</v>
      </c>
      <c r="P17" s="152">
        <v>16675</v>
      </c>
      <c r="Q17" s="152"/>
      <c r="R17" s="151"/>
      <c r="S17" s="152"/>
      <c r="T17" s="151">
        <v>100</v>
      </c>
      <c r="U17" s="153"/>
      <c r="V17" s="154"/>
      <c r="W17" s="155"/>
      <c r="X17" s="156"/>
      <c r="Y17" s="152">
        <v>1040</v>
      </c>
      <c r="Z17" s="152"/>
      <c r="AA17" s="153"/>
      <c r="AB17" s="154"/>
      <c r="AC17" s="153">
        <v>3780</v>
      </c>
      <c r="AD17" s="154">
        <v>500</v>
      </c>
      <c r="AE17" s="151">
        <v>500</v>
      </c>
      <c r="AF17" s="151"/>
      <c r="AG17" s="155"/>
      <c r="AH17" s="153"/>
      <c r="AI17" s="154"/>
      <c r="AJ17" s="150"/>
      <c r="AK17" s="154"/>
      <c r="AL17" s="158"/>
      <c r="AM17" s="158"/>
      <c r="AN17" s="159"/>
      <c r="AO17" s="160">
        <f t="shared" si="20"/>
        <v>92970</v>
      </c>
      <c r="AP17" s="161"/>
      <c r="AQ17" s="161">
        <f t="shared" si="21"/>
        <v>0</v>
      </c>
      <c r="AR17" s="161">
        <f t="shared" si="22"/>
        <v>0</v>
      </c>
      <c r="AS17" s="162">
        <v>155656</v>
      </c>
      <c r="AT17" s="163">
        <f t="shared" si="1"/>
        <v>1.6742605141443476</v>
      </c>
      <c r="AU17" s="164">
        <v>3420</v>
      </c>
      <c r="AV17" s="165">
        <v>11460</v>
      </c>
      <c r="AW17" s="152"/>
      <c r="AX17" s="156">
        <v>7500</v>
      </c>
      <c r="AY17" s="156">
        <v>500</v>
      </c>
      <c r="AZ17" s="156"/>
      <c r="BA17" s="166"/>
      <c r="BB17" s="167">
        <f t="shared" si="2"/>
        <v>22880</v>
      </c>
      <c r="BC17" s="168"/>
      <c r="BD17" s="167">
        <f t="shared" si="3"/>
        <v>0</v>
      </c>
      <c r="BE17" s="169"/>
      <c r="BF17" s="170"/>
      <c r="BG17" s="171"/>
      <c r="BH17" s="171">
        <v>900</v>
      </c>
      <c r="BI17" s="172"/>
      <c r="BJ17" s="173">
        <f t="shared" si="4"/>
        <v>900</v>
      </c>
      <c r="BK17" s="169">
        <v>800</v>
      </c>
      <c r="BL17" s="171">
        <v>1980</v>
      </c>
      <c r="BM17" s="171">
        <v>800</v>
      </c>
      <c r="BN17" s="171"/>
      <c r="BO17" s="171"/>
      <c r="BP17" s="174"/>
      <c r="BQ17" s="172"/>
      <c r="BR17" s="175">
        <f t="shared" si="5"/>
        <v>3580</v>
      </c>
      <c r="BS17" s="164">
        <v>120</v>
      </c>
      <c r="BT17" s="165">
        <v>260</v>
      </c>
      <c r="BU17" s="165"/>
      <c r="BV17" s="165">
        <v>40</v>
      </c>
      <c r="BW17" s="165">
        <v>200</v>
      </c>
      <c r="BX17" s="165">
        <v>1280</v>
      </c>
      <c r="BY17" s="152">
        <v>1500</v>
      </c>
      <c r="BZ17" s="152">
        <v>60</v>
      </c>
      <c r="CA17" s="152"/>
      <c r="CB17" s="152"/>
      <c r="CC17" s="165">
        <v>50</v>
      </c>
      <c r="CD17" s="152">
        <v>150</v>
      </c>
      <c r="CE17" s="165">
        <v>50</v>
      </c>
      <c r="CF17" s="152"/>
      <c r="CG17" s="152"/>
      <c r="CH17" s="152">
        <v>145</v>
      </c>
      <c r="CI17" s="152"/>
      <c r="CJ17" s="152"/>
      <c r="CK17" s="152">
        <v>1200</v>
      </c>
      <c r="CL17" s="166">
        <v>360</v>
      </c>
      <c r="CM17" s="176">
        <f t="shared" si="6"/>
        <v>5415</v>
      </c>
      <c r="CN17" s="177"/>
      <c r="CO17" s="152"/>
      <c r="CP17" s="152">
        <v>100</v>
      </c>
      <c r="CQ17" s="152"/>
      <c r="CR17" s="152"/>
      <c r="CS17" s="152"/>
      <c r="CT17" s="152"/>
      <c r="CU17" s="152"/>
      <c r="CV17" s="152"/>
      <c r="CW17" s="152"/>
      <c r="CX17" s="152"/>
      <c r="CY17" s="152"/>
      <c r="CZ17" s="166"/>
      <c r="DA17" s="175">
        <f t="shared" si="7"/>
        <v>100</v>
      </c>
      <c r="DB17" s="178">
        <f t="shared" si="8"/>
        <v>5415</v>
      </c>
      <c r="DC17" s="155">
        <f t="shared" si="9"/>
        <v>0</v>
      </c>
      <c r="DD17" s="155">
        <f t="shared" si="10"/>
        <v>4480</v>
      </c>
      <c r="DE17" s="155">
        <f t="shared" si="11"/>
        <v>99834</v>
      </c>
      <c r="DF17" s="155">
        <f t="shared" si="12"/>
        <v>0</v>
      </c>
      <c r="DG17" s="155">
        <f t="shared" si="13"/>
        <v>0</v>
      </c>
      <c r="DH17" s="155">
        <f t="shared" si="14"/>
        <v>100</v>
      </c>
      <c r="DI17" s="179">
        <v>0</v>
      </c>
      <c r="DJ17" s="179">
        <v>0</v>
      </c>
      <c r="DK17" s="155">
        <f t="shared" si="15"/>
        <v>0</v>
      </c>
      <c r="DL17" s="180">
        <v>0</v>
      </c>
      <c r="DM17" s="181">
        <f t="shared" si="16"/>
        <v>4.0790683699205126E-2</v>
      </c>
      <c r="DN17" s="182"/>
      <c r="DO17" s="183">
        <f t="shared" si="17"/>
        <v>105349</v>
      </c>
      <c r="DP17" s="184">
        <f t="shared" si="18"/>
        <v>4480</v>
      </c>
    </row>
    <row r="18" spans="1:120">
      <c r="A18" s="146"/>
      <c r="B18" s="318">
        <f t="shared" si="19"/>
        <v>43101</v>
      </c>
      <c r="C18" s="150">
        <v>25740</v>
      </c>
      <c r="D18" s="147">
        <v>4000</v>
      </c>
      <c r="E18" s="148">
        <v>18900</v>
      </c>
      <c r="F18" s="149"/>
      <c r="G18" s="148">
        <v>500</v>
      </c>
      <c r="H18" s="150"/>
      <c r="I18" s="147"/>
      <c r="J18" s="150"/>
      <c r="K18" s="150"/>
      <c r="L18" s="150">
        <v>725</v>
      </c>
      <c r="M18" s="147">
        <v>1650</v>
      </c>
      <c r="N18" s="151"/>
      <c r="O18" s="149">
        <v>8520</v>
      </c>
      <c r="P18" s="152">
        <v>19250</v>
      </c>
      <c r="Q18" s="152"/>
      <c r="R18" s="151"/>
      <c r="S18" s="152"/>
      <c r="T18" s="151">
        <v>140</v>
      </c>
      <c r="U18" s="153">
        <v>20</v>
      </c>
      <c r="V18" s="154"/>
      <c r="W18" s="155"/>
      <c r="X18" s="156"/>
      <c r="Y18" s="152">
        <v>320</v>
      </c>
      <c r="Z18" s="152"/>
      <c r="AA18" s="153"/>
      <c r="AB18" s="154"/>
      <c r="AC18" s="153">
        <v>5040</v>
      </c>
      <c r="AD18" s="154">
        <v>1000</v>
      </c>
      <c r="AE18" s="151">
        <v>4000</v>
      </c>
      <c r="AF18" s="151"/>
      <c r="AG18" s="155"/>
      <c r="AH18" s="153"/>
      <c r="AI18" s="154"/>
      <c r="AJ18" s="150"/>
      <c r="AK18" s="154">
        <v>1000</v>
      </c>
      <c r="AL18" s="158"/>
      <c r="AM18" s="158"/>
      <c r="AN18" s="159"/>
      <c r="AO18" s="160">
        <f t="shared" si="20"/>
        <v>90805</v>
      </c>
      <c r="AP18" s="161"/>
      <c r="AQ18" s="161">
        <f t="shared" si="21"/>
        <v>0</v>
      </c>
      <c r="AR18" s="161">
        <f t="shared" si="22"/>
        <v>0</v>
      </c>
      <c r="AS18" s="162">
        <v>148311</v>
      </c>
      <c r="AT18" s="163">
        <f t="shared" si="1"/>
        <v>1.6332911183304883</v>
      </c>
      <c r="AU18" s="164">
        <v>2460</v>
      </c>
      <c r="AV18" s="165">
        <v>12870</v>
      </c>
      <c r="AW18" s="152">
        <v>150</v>
      </c>
      <c r="AX18" s="156">
        <v>5000</v>
      </c>
      <c r="AY18" s="156">
        <v>500</v>
      </c>
      <c r="AZ18" s="156">
        <v>200</v>
      </c>
      <c r="BA18" s="166">
        <v>720</v>
      </c>
      <c r="BB18" s="167">
        <f t="shared" si="2"/>
        <v>21900</v>
      </c>
      <c r="BC18" s="168"/>
      <c r="BD18" s="167">
        <f t="shared" si="3"/>
        <v>0</v>
      </c>
      <c r="BE18" s="169"/>
      <c r="BF18" s="170">
        <v>1000</v>
      </c>
      <c r="BG18" s="171"/>
      <c r="BH18" s="171">
        <v>525</v>
      </c>
      <c r="BI18" s="172"/>
      <c r="BJ18" s="173">
        <f t="shared" si="4"/>
        <v>1525</v>
      </c>
      <c r="BK18" s="169">
        <v>1600</v>
      </c>
      <c r="BL18" s="171">
        <v>700</v>
      </c>
      <c r="BM18" s="171">
        <v>2400</v>
      </c>
      <c r="BN18" s="171"/>
      <c r="BO18" s="171"/>
      <c r="BP18" s="174"/>
      <c r="BQ18" s="172"/>
      <c r="BR18" s="175">
        <f t="shared" si="5"/>
        <v>4700</v>
      </c>
      <c r="BS18" s="164">
        <v>120</v>
      </c>
      <c r="BT18" s="165">
        <v>120</v>
      </c>
      <c r="BU18" s="165"/>
      <c r="BV18" s="165">
        <v>20</v>
      </c>
      <c r="BW18" s="165">
        <v>80</v>
      </c>
      <c r="BX18" s="165">
        <v>1220</v>
      </c>
      <c r="BY18" s="152">
        <v>1060</v>
      </c>
      <c r="BZ18" s="152">
        <v>40</v>
      </c>
      <c r="CA18" s="152"/>
      <c r="CB18" s="152"/>
      <c r="CC18" s="165">
        <v>60</v>
      </c>
      <c r="CD18" s="152">
        <v>110</v>
      </c>
      <c r="CE18" s="165">
        <v>50</v>
      </c>
      <c r="CF18" s="152">
        <v>30</v>
      </c>
      <c r="CG18" s="152"/>
      <c r="CH18" s="152"/>
      <c r="CI18" s="152">
        <v>80</v>
      </c>
      <c r="CJ18" s="152"/>
      <c r="CK18" s="152">
        <v>1060</v>
      </c>
      <c r="CL18" s="166">
        <v>260</v>
      </c>
      <c r="CM18" s="176">
        <f t="shared" si="6"/>
        <v>4310</v>
      </c>
      <c r="CN18" s="177"/>
      <c r="CO18" s="152"/>
      <c r="CP18" s="152">
        <v>150</v>
      </c>
      <c r="CQ18" s="152"/>
      <c r="CR18" s="152"/>
      <c r="CS18" s="152"/>
      <c r="CT18" s="152">
        <v>400</v>
      </c>
      <c r="CU18" s="152"/>
      <c r="CV18" s="152">
        <v>25</v>
      </c>
      <c r="CW18" s="152"/>
      <c r="CX18" s="152">
        <v>50</v>
      </c>
      <c r="CY18" s="152"/>
      <c r="CZ18" s="166"/>
      <c r="DA18" s="175">
        <f t="shared" si="7"/>
        <v>625</v>
      </c>
      <c r="DB18" s="186">
        <f t="shared" si="8"/>
        <v>4310</v>
      </c>
      <c r="DC18" s="187">
        <f t="shared" si="9"/>
        <v>0</v>
      </c>
      <c r="DD18" s="187">
        <f t="shared" si="10"/>
        <v>6225</v>
      </c>
      <c r="DE18" s="187">
        <f t="shared" si="11"/>
        <v>97375</v>
      </c>
      <c r="DF18" s="187">
        <f t="shared" si="12"/>
        <v>0</v>
      </c>
      <c r="DG18" s="187">
        <f t="shared" si="13"/>
        <v>0</v>
      </c>
      <c r="DH18" s="187">
        <f t="shared" si="14"/>
        <v>625</v>
      </c>
      <c r="DI18" s="188">
        <v>0</v>
      </c>
      <c r="DJ18" s="188">
        <v>0</v>
      </c>
      <c r="DK18" s="187">
        <f t="shared" si="15"/>
        <v>0</v>
      </c>
      <c r="DL18" s="189">
        <v>0</v>
      </c>
      <c r="DM18" s="190">
        <f t="shared" si="16"/>
        <v>5.7354770350578156E-2</v>
      </c>
      <c r="DN18" s="182"/>
      <c r="DO18" s="183">
        <f t="shared" si="17"/>
        <v>102310</v>
      </c>
      <c r="DP18" s="184">
        <f t="shared" si="18"/>
        <v>6225</v>
      </c>
    </row>
    <row r="19" spans="1:120">
      <c r="A19" s="146"/>
      <c r="B19" s="318">
        <f t="shared" si="19"/>
        <v>43132</v>
      </c>
      <c r="C19" s="150">
        <v>25080</v>
      </c>
      <c r="D19" s="147">
        <v>3500</v>
      </c>
      <c r="E19" s="148">
        <v>17640</v>
      </c>
      <c r="F19" s="149"/>
      <c r="G19" s="148"/>
      <c r="H19" s="150"/>
      <c r="I19" s="147"/>
      <c r="J19" s="150"/>
      <c r="K19" s="150"/>
      <c r="L19" s="150">
        <v>525</v>
      </c>
      <c r="M19" s="147">
        <v>1410</v>
      </c>
      <c r="N19" s="151"/>
      <c r="O19" s="149">
        <v>12510</v>
      </c>
      <c r="P19" s="152">
        <v>22525</v>
      </c>
      <c r="Q19" s="152"/>
      <c r="R19" s="151"/>
      <c r="S19" s="152"/>
      <c r="T19" s="151">
        <v>120</v>
      </c>
      <c r="U19" s="153"/>
      <c r="V19" s="154"/>
      <c r="W19" s="155"/>
      <c r="X19" s="156"/>
      <c r="Y19" s="152">
        <v>480</v>
      </c>
      <c r="Z19" s="152">
        <v>90</v>
      </c>
      <c r="AA19" s="153"/>
      <c r="AB19" s="154"/>
      <c r="AC19" s="153">
        <v>5385</v>
      </c>
      <c r="AD19" s="154">
        <v>1000</v>
      </c>
      <c r="AE19" s="151">
        <v>2000</v>
      </c>
      <c r="AF19" s="151"/>
      <c r="AG19" s="155"/>
      <c r="AH19" s="153"/>
      <c r="AI19" s="154"/>
      <c r="AJ19" s="150"/>
      <c r="AK19" s="154"/>
      <c r="AL19" s="158"/>
      <c r="AM19" s="158"/>
      <c r="AN19" s="159"/>
      <c r="AO19" s="160">
        <f t="shared" si="20"/>
        <v>92265</v>
      </c>
      <c r="AP19" s="161"/>
      <c r="AQ19" s="161">
        <f t="shared" si="21"/>
        <v>0</v>
      </c>
      <c r="AR19" s="161">
        <f t="shared" si="22"/>
        <v>0</v>
      </c>
      <c r="AS19" s="162">
        <v>173396</v>
      </c>
      <c r="AT19" s="163">
        <f t="shared" si="1"/>
        <v>1.8793258548745462</v>
      </c>
      <c r="AU19" s="164">
        <v>2580</v>
      </c>
      <c r="AV19" s="165">
        <v>6780</v>
      </c>
      <c r="AW19" s="152">
        <v>360</v>
      </c>
      <c r="AX19" s="156">
        <v>4500</v>
      </c>
      <c r="AY19" s="156">
        <v>900</v>
      </c>
      <c r="AZ19" s="156">
        <v>300</v>
      </c>
      <c r="BA19" s="166">
        <v>920</v>
      </c>
      <c r="BB19" s="167">
        <f t="shared" si="2"/>
        <v>16340</v>
      </c>
      <c r="BC19" s="168"/>
      <c r="BD19" s="167">
        <f t="shared" si="3"/>
        <v>0</v>
      </c>
      <c r="BE19" s="169"/>
      <c r="BF19" s="170">
        <v>500</v>
      </c>
      <c r="BG19" s="171">
        <v>500</v>
      </c>
      <c r="BH19" s="171">
        <v>850</v>
      </c>
      <c r="BI19" s="172"/>
      <c r="BJ19" s="173">
        <f t="shared" si="4"/>
        <v>1850</v>
      </c>
      <c r="BK19" s="169">
        <v>1600</v>
      </c>
      <c r="BL19" s="171">
        <v>1240</v>
      </c>
      <c r="BM19" s="171">
        <v>2400</v>
      </c>
      <c r="BN19" s="171"/>
      <c r="BO19" s="171"/>
      <c r="BP19" s="174"/>
      <c r="BQ19" s="172"/>
      <c r="BR19" s="175">
        <f t="shared" si="5"/>
        <v>5240</v>
      </c>
      <c r="BS19" s="164">
        <v>100</v>
      </c>
      <c r="BT19" s="165">
        <v>60</v>
      </c>
      <c r="BU19" s="165"/>
      <c r="BV19" s="165">
        <v>40</v>
      </c>
      <c r="BW19" s="165">
        <v>40</v>
      </c>
      <c r="BX19" s="165">
        <v>1080</v>
      </c>
      <c r="BY19" s="152">
        <v>920</v>
      </c>
      <c r="BZ19" s="152"/>
      <c r="CA19" s="152"/>
      <c r="CB19" s="152"/>
      <c r="CC19" s="165"/>
      <c r="CD19" s="152">
        <v>200</v>
      </c>
      <c r="CE19" s="165"/>
      <c r="CF19" s="152"/>
      <c r="CG19" s="152"/>
      <c r="CH19" s="152"/>
      <c r="CI19" s="152"/>
      <c r="CJ19" s="152"/>
      <c r="CK19" s="152">
        <v>860</v>
      </c>
      <c r="CL19" s="166">
        <v>220</v>
      </c>
      <c r="CM19" s="176">
        <f t="shared" si="6"/>
        <v>3520</v>
      </c>
      <c r="CN19" s="177"/>
      <c r="CO19" s="152"/>
      <c r="CP19" s="152">
        <v>275</v>
      </c>
      <c r="CQ19" s="152"/>
      <c r="CR19" s="152">
        <v>90</v>
      </c>
      <c r="CS19" s="152">
        <v>200</v>
      </c>
      <c r="CT19" s="152">
        <v>300</v>
      </c>
      <c r="CU19" s="152"/>
      <c r="CV19" s="152"/>
      <c r="CW19" s="152"/>
      <c r="CX19" s="152"/>
      <c r="CY19" s="152"/>
      <c r="CZ19" s="166">
        <v>355</v>
      </c>
      <c r="DA19" s="175">
        <f t="shared" si="7"/>
        <v>1220</v>
      </c>
      <c r="DB19" s="178">
        <f t="shared" si="8"/>
        <v>3520</v>
      </c>
      <c r="DC19" s="155">
        <f t="shared" si="9"/>
        <v>0</v>
      </c>
      <c r="DD19" s="155">
        <f t="shared" si="10"/>
        <v>7090</v>
      </c>
      <c r="DE19" s="155">
        <f t="shared" si="11"/>
        <v>97167</v>
      </c>
      <c r="DF19" s="155">
        <f t="shared" si="12"/>
        <v>0</v>
      </c>
      <c r="DG19" s="155">
        <f t="shared" si="13"/>
        <v>0</v>
      </c>
      <c r="DH19" s="155">
        <f t="shared" si="14"/>
        <v>1220</v>
      </c>
      <c r="DI19" s="179">
        <v>0</v>
      </c>
      <c r="DJ19" s="179">
        <v>0</v>
      </c>
      <c r="DK19" s="155">
        <f t="shared" si="15"/>
        <v>0</v>
      </c>
      <c r="DL19" s="180">
        <v>0</v>
      </c>
      <c r="DM19" s="181">
        <f t="shared" si="16"/>
        <v>6.5047661862253095E-2</v>
      </c>
      <c r="DN19" s="180"/>
      <c r="DO19" s="183">
        <f t="shared" si="17"/>
        <v>101907</v>
      </c>
      <c r="DP19" s="184">
        <f t="shared" si="18"/>
        <v>7090</v>
      </c>
    </row>
    <row r="20" spans="1:120" ht="16.5" thickBot="1">
      <c r="A20" s="185"/>
      <c r="B20" s="319">
        <f t="shared" si="19"/>
        <v>43160</v>
      </c>
      <c r="C20" s="204">
        <v>37965</v>
      </c>
      <c r="D20" s="201">
        <v>2000</v>
      </c>
      <c r="E20" s="202">
        <v>16740</v>
      </c>
      <c r="F20" s="203"/>
      <c r="G20" s="202"/>
      <c r="H20" s="204"/>
      <c r="I20" s="201"/>
      <c r="J20" s="204"/>
      <c r="K20" s="204"/>
      <c r="L20" s="204">
        <v>1000</v>
      </c>
      <c r="M20" s="201">
        <v>2070</v>
      </c>
      <c r="N20" s="205"/>
      <c r="O20" s="203">
        <v>10350</v>
      </c>
      <c r="P20" s="206">
        <v>19800</v>
      </c>
      <c r="Q20" s="206"/>
      <c r="R20" s="205"/>
      <c r="S20" s="206"/>
      <c r="T20" s="205">
        <v>60</v>
      </c>
      <c r="U20" s="207"/>
      <c r="V20" s="208"/>
      <c r="W20" s="209"/>
      <c r="X20" s="210"/>
      <c r="Y20" s="206">
        <v>600</v>
      </c>
      <c r="Z20" s="206"/>
      <c r="AA20" s="207"/>
      <c r="AB20" s="208"/>
      <c r="AC20" s="207">
        <v>2520</v>
      </c>
      <c r="AD20" s="208">
        <v>500</v>
      </c>
      <c r="AE20" s="205">
        <v>4000</v>
      </c>
      <c r="AF20" s="205"/>
      <c r="AG20" s="209"/>
      <c r="AH20" s="207"/>
      <c r="AI20" s="208"/>
      <c r="AJ20" s="211"/>
      <c r="AK20" s="212">
        <v>1000</v>
      </c>
      <c r="AL20" s="212"/>
      <c r="AM20" s="212">
        <v>80</v>
      </c>
      <c r="AN20" s="213"/>
      <c r="AO20" s="214">
        <f t="shared" si="20"/>
        <v>98605</v>
      </c>
      <c r="AP20" s="215"/>
      <c r="AQ20" s="215">
        <f t="shared" si="21"/>
        <v>80</v>
      </c>
      <c r="AR20" s="215">
        <f t="shared" si="22"/>
        <v>0</v>
      </c>
      <c r="AS20" s="216">
        <v>169147</v>
      </c>
      <c r="AT20" s="217">
        <f t="shared" si="1"/>
        <v>1.7140092212595632</v>
      </c>
      <c r="AU20" s="218">
        <v>2520</v>
      </c>
      <c r="AV20" s="219">
        <v>3702</v>
      </c>
      <c r="AW20" s="206"/>
      <c r="AX20" s="210">
        <v>5000</v>
      </c>
      <c r="AY20" s="210"/>
      <c r="AZ20" s="210">
        <v>100</v>
      </c>
      <c r="BA20" s="220">
        <v>200</v>
      </c>
      <c r="BB20" s="221">
        <f t="shared" si="2"/>
        <v>11522</v>
      </c>
      <c r="BC20" s="222">
        <v>120</v>
      </c>
      <c r="BD20" s="221">
        <f t="shared" si="3"/>
        <v>120</v>
      </c>
      <c r="BE20" s="223"/>
      <c r="BF20" s="224"/>
      <c r="BG20" s="225"/>
      <c r="BH20" s="225">
        <v>1025</v>
      </c>
      <c r="BI20" s="226"/>
      <c r="BJ20" s="227">
        <f t="shared" si="4"/>
        <v>1025</v>
      </c>
      <c r="BK20" s="223">
        <v>800</v>
      </c>
      <c r="BL20" s="225">
        <v>1280</v>
      </c>
      <c r="BM20" s="225">
        <v>800</v>
      </c>
      <c r="BN20" s="225"/>
      <c r="BO20" s="225"/>
      <c r="BP20" s="228"/>
      <c r="BQ20" s="226"/>
      <c r="BR20" s="229">
        <f t="shared" si="5"/>
        <v>2880</v>
      </c>
      <c r="BS20" s="218">
        <v>140</v>
      </c>
      <c r="BT20" s="219">
        <v>100</v>
      </c>
      <c r="BU20" s="219"/>
      <c r="BV20" s="219">
        <v>20</v>
      </c>
      <c r="BW20" s="219">
        <v>100</v>
      </c>
      <c r="BX20" s="219">
        <v>1200</v>
      </c>
      <c r="BY20" s="206">
        <v>1060</v>
      </c>
      <c r="BZ20" s="206">
        <v>120</v>
      </c>
      <c r="CA20" s="206"/>
      <c r="CB20" s="206"/>
      <c r="CC20" s="219">
        <v>100</v>
      </c>
      <c r="CD20" s="206">
        <v>100</v>
      </c>
      <c r="CE20" s="219"/>
      <c r="CF20" s="206"/>
      <c r="CG20" s="206"/>
      <c r="CH20" s="206">
        <v>80</v>
      </c>
      <c r="CI20" s="206"/>
      <c r="CJ20" s="206"/>
      <c r="CK20" s="206">
        <v>1120</v>
      </c>
      <c r="CL20" s="220">
        <v>240</v>
      </c>
      <c r="CM20" s="230">
        <f t="shared" si="6"/>
        <v>4380</v>
      </c>
      <c r="CN20" s="231"/>
      <c r="CO20" s="206"/>
      <c r="CP20" s="206">
        <v>175</v>
      </c>
      <c r="CQ20" s="206"/>
      <c r="CR20" s="206">
        <v>210</v>
      </c>
      <c r="CS20" s="206"/>
      <c r="CT20" s="206">
        <v>200</v>
      </c>
      <c r="CU20" s="206"/>
      <c r="CV20" s="206"/>
      <c r="CW20" s="206"/>
      <c r="CX20" s="206"/>
      <c r="CY20" s="206"/>
      <c r="CZ20" s="220">
        <v>80</v>
      </c>
      <c r="DA20" s="229">
        <f t="shared" si="7"/>
        <v>665</v>
      </c>
      <c r="DB20" s="232">
        <f t="shared" si="8"/>
        <v>4380</v>
      </c>
      <c r="DC20" s="233">
        <f t="shared" si="9"/>
        <v>0</v>
      </c>
      <c r="DD20" s="233">
        <f t="shared" si="10"/>
        <v>3905</v>
      </c>
      <c r="DE20" s="233">
        <f t="shared" si="11"/>
        <v>102061.6</v>
      </c>
      <c r="DF20" s="233">
        <f t="shared" si="12"/>
        <v>0</v>
      </c>
      <c r="DG20" s="233">
        <f t="shared" si="13"/>
        <v>0</v>
      </c>
      <c r="DH20" s="233">
        <f t="shared" si="14"/>
        <v>665</v>
      </c>
      <c r="DI20" s="234">
        <v>0</v>
      </c>
      <c r="DJ20" s="234">
        <v>0</v>
      </c>
      <c r="DK20" s="233">
        <f t="shared" si="15"/>
        <v>116</v>
      </c>
      <c r="DL20" s="235">
        <v>0</v>
      </c>
      <c r="DM20" s="236">
        <f t="shared" si="16"/>
        <v>3.6183630349256167E-2</v>
      </c>
      <c r="DN20" s="237"/>
      <c r="DO20" s="238">
        <f t="shared" si="17"/>
        <v>107106.6</v>
      </c>
      <c r="DP20" s="239">
        <f t="shared" si="18"/>
        <v>4021</v>
      </c>
    </row>
    <row r="21" spans="1:120">
      <c r="A21" s="191">
        <f>A9+1</f>
        <v>2018</v>
      </c>
      <c r="B21" s="317">
        <f t="shared" si="19"/>
        <v>43191</v>
      </c>
      <c r="C21" s="109">
        <v>31200</v>
      </c>
      <c r="D21" s="106">
        <v>3000</v>
      </c>
      <c r="E21" s="107">
        <v>20610</v>
      </c>
      <c r="F21" s="111"/>
      <c r="G21" s="107"/>
      <c r="H21" s="109"/>
      <c r="I21" s="106"/>
      <c r="J21" s="109"/>
      <c r="K21" s="109"/>
      <c r="L21" s="109">
        <v>800</v>
      </c>
      <c r="M21" s="106">
        <v>1845</v>
      </c>
      <c r="N21" s="110"/>
      <c r="O21" s="111">
        <v>9510</v>
      </c>
      <c r="P21" s="112">
        <v>17350</v>
      </c>
      <c r="Q21" s="112"/>
      <c r="R21" s="110"/>
      <c r="S21" s="112"/>
      <c r="T21" s="110">
        <v>520</v>
      </c>
      <c r="U21" s="113"/>
      <c r="V21" s="114"/>
      <c r="W21" s="115"/>
      <c r="X21" s="116">
        <v>80</v>
      </c>
      <c r="Y21" s="112">
        <v>820</v>
      </c>
      <c r="Z21" s="112"/>
      <c r="AA21" s="113"/>
      <c r="AB21" s="114"/>
      <c r="AC21" s="113">
        <v>5040</v>
      </c>
      <c r="AD21" s="114">
        <v>1500</v>
      </c>
      <c r="AE21" s="110">
        <v>2000</v>
      </c>
      <c r="AF21" s="110"/>
      <c r="AG21" s="115"/>
      <c r="AH21" s="113"/>
      <c r="AI21" s="114"/>
      <c r="AJ21" s="117"/>
      <c r="AK21" s="118"/>
      <c r="AL21" s="118"/>
      <c r="AM21" s="118"/>
      <c r="AN21" s="119"/>
      <c r="AO21" s="120">
        <f t="shared" si="20"/>
        <v>94275</v>
      </c>
      <c r="AP21" s="121"/>
      <c r="AQ21" s="121">
        <f t="shared" si="21"/>
        <v>0</v>
      </c>
      <c r="AR21" s="121">
        <f t="shared" si="22"/>
        <v>0</v>
      </c>
      <c r="AS21" s="122">
        <v>152740</v>
      </c>
      <c r="AT21" s="123">
        <f t="shared" si="1"/>
        <v>1.6201538053566693</v>
      </c>
      <c r="AU21" s="124">
        <v>1920</v>
      </c>
      <c r="AV21" s="125">
        <v>11700</v>
      </c>
      <c r="AW21" s="112">
        <v>300</v>
      </c>
      <c r="AX21" s="116">
        <v>4500</v>
      </c>
      <c r="AY21" s="116">
        <v>500</v>
      </c>
      <c r="AZ21" s="116">
        <v>100</v>
      </c>
      <c r="BA21" s="126"/>
      <c r="BB21" s="127">
        <f t="shared" si="2"/>
        <v>19020</v>
      </c>
      <c r="BC21" s="128"/>
      <c r="BD21" s="127">
        <f t="shared" si="3"/>
        <v>0</v>
      </c>
      <c r="BE21" s="129"/>
      <c r="BF21" s="130"/>
      <c r="BG21" s="131"/>
      <c r="BH21" s="131">
        <v>1325</v>
      </c>
      <c r="BI21" s="132"/>
      <c r="BJ21" s="133">
        <f t="shared" si="4"/>
        <v>1325</v>
      </c>
      <c r="BK21" s="129">
        <v>1600</v>
      </c>
      <c r="BL21" s="131">
        <v>2120</v>
      </c>
      <c r="BM21" s="131">
        <v>1600</v>
      </c>
      <c r="BN21" s="131"/>
      <c r="BO21" s="131"/>
      <c r="BP21" s="134"/>
      <c r="BQ21" s="132"/>
      <c r="BR21" s="135">
        <f t="shared" si="5"/>
        <v>5320</v>
      </c>
      <c r="BS21" s="124">
        <v>80</v>
      </c>
      <c r="BT21" s="125">
        <v>560</v>
      </c>
      <c r="BU21" s="125"/>
      <c r="BV21" s="125">
        <v>80</v>
      </c>
      <c r="BW21" s="125">
        <v>140</v>
      </c>
      <c r="BX21" s="125">
        <v>1740</v>
      </c>
      <c r="BY21" s="112">
        <v>1320</v>
      </c>
      <c r="BZ21" s="112">
        <v>20</v>
      </c>
      <c r="CA21" s="112"/>
      <c r="CB21" s="112"/>
      <c r="CC21" s="125">
        <v>70</v>
      </c>
      <c r="CD21" s="112">
        <v>130</v>
      </c>
      <c r="CE21" s="125">
        <v>50</v>
      </c>
      <c r="CF21" s="112">
        <v>50</v>
      </c>
      <c r="CG21" s="112"/>
      <c r="CH21" s="112"/>
      <c r="CI21" s="112"/>
      <c r="CJ21" s="112"/>
      <c r="CK21" s="112">
        <v>1020</v>
      </c>
      <c r="CL21" s="126">
        <v>400</v>
      </c>
      <c r="CM21" s="136">
        <f t="shared" si="6"/>
        <v>5660</v>
      </c>
      <c r="CN21" s="137"/>
      <c r="CO21" s="112"/>
      <c r="CP21" s="112">
        <v>400</v>
      </c>
      <c r="CQ21" s="112"/>
      <c r="CR21" s="112"/>
      <c r="CS21" s="112"/>
      <c r="CT21" s="112">
        <v>100</v>
      </c>
      <c r="CU21" s="112">
        <v>50</v>
      </c>
      <c r="CV21" s="112"/>
      <c r="CW21" s="112"/>
      <c r="CX21" s="112"/>
      <c r="CY21" s="112"/>
      <c r="CZ21" s="126"/>
      <c r="DA21" s="135">
        <f t="shared" si="7"/>
        <v>550</v>
      </c>
      <c r="DB21" s="192">
        <f t="shared" si="8"/>
        <v>5660</v>
      </c>
      <c r="DC21" s="115">
        <f t="shared" si="9"/>
        <v>0</v>
      </c>
      <c r="DD21" s="115">
        <f t="shared" si="10"/>
        <v>6645</v>
      </c>
      <c r="DE21" s="115">
        <f t="shared" si="11"/>
        <v>99981</v>
      </c>
      <c r="DF21" s="115">
        <f t="shared" si="12"/>
        <v>0</v>
      </c>
      <c r="DG21" s="115">
        <f t="shared" si="13"/>
        <v>0</v>
      </c>
      <c r="DH21" s="115">
        <f t="shared" si="14"/>
        <v>550</v>
      </c>
      <c r="DI21" s="193">
        <v>0</v>
      </c>
      <c r="DJ21" s="193">
        <v>0</v>
      </c>
      <c r="DK21" s="115">
        <f t="shared" si="15"/>
        <v>0</v>
      </c>
      <c r="DL21" s="194">
        <v>0</v>
      </c>
      <c r="DM21" s="195">
        <f t="shared" si="16"/>
        <v>5.8890779538445175E-2</v>
      </c>
      <c r="DN21" s="143"/>
      <c r="DO21" s="144">
        <f t="shared" si="17"/>
        <v>106191</v>
      </c>
      <c r="DP21" s="145">
        <f t="shared" si="18"/>
        <v>6645</v>
      </c>
    </row>
    <row r="22" spans="1:120">
      <c r="A22" s="146"/>
      <c r="B22" s="318">
        <f t="shared" si="19"/>
        <v>43221</v>
      </c>
      <c r="C22" s="150">
        <v>31365</v>
      </c>
      <c r="D22" s="147">
        <v>2000</v>
      </c>
      <c r="E22" s="148">
        <v>17640</v>
      </c>
      <c r="F22" s="149"/>
      <c r="G22" s="148"/>
      <c r="H22" s="150"/>
      <c r="I22" s="147"/>
      <c r="J22" s="150"/>
      <c r="K22" s="150"/>
      <c r="L22" s="150">
        <v>475</v>
      </c>
      <c r="M22" s="147">
        <v>1620</v>
      </c>
      <c r="N22" s="151"/>
      <c r="O22" s="149">
        <v>8460</v>
      </c>
      <c r="P22" s="152">
        <v>18625</v>
      </c>
      <c r="Q22" s="152"/>
      <c r="R22" s="151"/>
      <c r="S22" s="152"/>
      <c r="T22" s="151">
        <v>140</v>
      </c>
      <c r="U22" s="153"/>
      <c r="V22" s="154"/>
      <c r="W22" s="155"/>
      <c r="X22" s="156"/>
      <c r="Y22" s="152">
        <v>1040</v>
      </c>
      <c r="Z22" s="152"/>
      <c r="AA22" s="153"/>
      <c r="AB22" s="154"/>
      <c r="AC22" s="153">
        <v>3780</v>
      </c>
      <c r="AD22" s="154"/>
      <c r="AE22" s="151">
        <v>2000</v>
      </c>
      <c r="AF22" s="151"/>
      <c r="AG22" s="155"/>
      <c r="AH22" s="153"/>
      <c r="AI22" s="154"/>
      <c r="AJ22" s="157"/>
      <c r="AK22" s="158"/>
      <c r="AL22" s="158"/>
      <c r="AM22" s="158">
        <v>200</v>
      </c>
      <c r="AN22" s="159"/>
      <c r="AO22" s="160">
        <f t="shared" si="20"/>
        <v>87145</v>
      </c>
      <c r="AP22" s="161"/>
      <c r="AQ22" s="161">
        <f t="shared" si="21"/>
        <v>200</v>
      </c>
      <c r="AR22" s="161">
        <f t="shared" si="22"/>
        <v>0</v>
      </c>
      <c r="AS22" s="162">
        <v>141068</v>
      </c>
      <c r="AT22" s="163">
        <f t="shared" si="1"/>
        <v>1.6150666895643713</v>
      </c>
      <c r="AU22" s="164">
        <v>2340</v>
      </c>
      <c r="AV22" s="165">
        <v>11200</v>
      </c>
      <c r="AW22" s="152">
        <v>120</v>
      </c>
      <c r="AX22" s="156">
        <v>6550</v>
      </c>
      <c r="AY22" s="156"/>
      <c r="AZ22" s="156">
        <v>100</v>
      </c>
      <c r="BA22" s="166">
        <v>760</v>
      </c>
      <c r="BB22" s="167">
        <f t="shared" si="2"/>
        <v>21070</v>
      </c>
      <c r="BC22" s="168">
        <v>120</v>
      </c>
      <c r="BD22" s="167">
        <f t="shared" si="3"/>
        <v>120</v>
      </c>
      <c r="BE22" s="169"/>
      <c r="BF22" s="170">
        <v>2000</v>
      </c>
      <c r="BG22" s="171">
        <v>500</v>
      </c>
      <c r="BH22" s="171">
        <v>1525</v>
      </c>
      <c r="BI22" s="172"/>
      <c r="BJ22" s="173">
        <f t="shared" si="4"/>
        <v>4025</v>
      </c>
      <c r="BK22" s="169">
        <v>1600</v>
      </c>
      <c r="BL22" s="171">
        <v>880</v>
      </c>
      <c r="BM22" s="171">
        <v>1600</v>
      </c>
      <c r="BN22" s="171"/>
      <c r="BO22" s="171"/>
      <c r="BP22" s="174"/>
      <c r="BQ22" s="172"/>
      <c r="BR22" s="175">
        <f t="shared" si="5"/>
        <v>4080</v>
      </c>
      <c r="BS22" s="164">
        <v>60</v>
      </c>
      <c r="BT22" s="165">
        <v>900</v>
      </c>
      <c r="BU22" s="165"/>
      <c r="BV22" s="165"/>
      <c r="BW22" s="165">
        <v>120</v>
      </c>
      <c r="BX22" s="165">
        <v>1080</v>
      </c>
      <c r="BY22" s="152">
        <v>1060</v>
      </c>
      <c r="BZ22" s="152">
        <v>40</v>
      </c>
      <c r="CA22" s="152"/>
      <c r="CB22" s="152"/>
      <c r="CC22" s="165">
        <v>70</v>
      </c>
      <c r="CD22" s="152">
        <v>130</v>
      </c>
      <c r="CE22" s="165">
        <v>50</v>
      </c>
      <c r="CF22" s="152"/>
      <c r="CG22" s="152"/>
      <c r="CH22" s="152"/>
      <c r="CI22" s="152"/>
      <c r="CJ22" s="152"/>
      <c r="CK22" s="152">
        <v>820</v>
      </c>
      <c r="CL22" s="166">
        <v>160</v>
      </c>
      <c r="CM22" s="176">
        <f t="shared" si="6"/>
        <v>4490</v>
      </c>
      <c r="CN22" s="177"/>
      <c r="CO22" s="152"/>
      <c r="CP22" s="152"/>
      <c r="CQ22" s="152"/>
      <c r="CR22" s="152"/>
      <c r="CS22" s="152"/>
      <c r="CT22" s="152">
        <v>200</v>
      </c>
      <c r="CU22" s="152"/>
      <c r="CV22" s="152"/>
      <c r="CW22" s="152"/>
      <c r="CX22" s="152"/>
      <c r="CY22" s="152"/>
      <c r="CZ22" s="166"/>
      <c r="DA22" s="175">
        <f t="shared" si="7"/>
        <v>200</v>
      </c>
      <c r="DB22" s="186">
        <f t="shared" si="8"/>
        <v>4490</v>
      </c>
      <c r="DC22" s="187">
        <f t="shared" si="9"/>
        <v>0</v>
      </c>
      <c r="DD22" s="187">
        <f t="shared" si="10"/>
        <v>8105</v>
      </c>
      <c r="DE22" s="187">
        <f t="shared" si="11"/>
        <v>93466</v>
      </c>
      <c r="DF22" s="187">
        <f t="shared" si="12"/>
        <v>0</v>
      </c>
      <c r="DG22" s="187">
        <f t="shared" si="13"/>
        <v>0</v>
      </c>
      <c r="DH22" s="187">
        <f t="shared" si="14"/>
        <v>200</v>
      </c>
      <c r="DI22" s="188">
        <v>0</v>
      </c>
      <c r="DJ22" s="188">
        <v>0</v>
      </c>
      <c r="DK22" s="187">
        <f t="shared" si="15"/>
        <v>236</v>
      </c>
      <c r="DL22" s="189">
        <v>0</v>
      </c>
      <c r="DM22" s="190">
        <f t="shared" si="16"/>
        <v>7.8321455064461906E-2</v>
      </c>
      <c r="DN22" s="182"/>
      <c r="DO22" s="183">
        <f t="shared" si="17"/>
        <v>98156</v>
      </c>
      <c r="DP22" s="184">
        <f t="shared" si="18"/>
        <v>8341</v>
      </c>
    </row>
    <row r="23" spans="1:120">
      <c r="A23" s="146"/>
      <c r="B23" s="318">
        <f t="shared" si="19"/>
        <v>43252</v>
      </c>
      <c r="C23" s="150">
        <v>31755</v>
      </c>
      <c r="D23" s="147">
        <v>4000</v>
      </c>
      <c r="E23" s="148">
        <v>18900</v>
      </c>
      <c r="F23" s="149"/>
      <c r="G23" s="148"/>
      <c r="H23" s="150"/>
      <c r="I23" s="147"/>
      <c r="J23" s="150"/>
      <c r="K23" s="150"/>
      <c r="L23" s="150">
        <v>550</v>
      </c>
      <c r="M23" s="147">
        <v>1590</v>
      </c>
      <c r="N23" s="151"/>
      <c r="O23" s="149">
        <v>10260</v>
      </c>
      <c r="P23" s="152">
        <v>26000</v>
      </c>
      <c r="Q23" s="152"/>
      <c r="R23" s="151"/>
      <c r="S23" s="152">
        <v>100</v>
      </c>
      <c r="T23" s="151">
        <v>260</v>
      </c>
      <c r="U23" s="153"/>
      <c r="V23" s="154"/>
      <c r="W23" s="155"/>
      <c r="X23" s="156"/>
      <c r="Y23" s="152">
        <v>960</v>
      </c>
      <c r="Z23" s="152"/>
      <c r="AA23" s="153"/>
      <c r="AB23" s="154"/>
      <c r="AC23" s="153">
        <v>6300</v>
      </c>
      <c r="AD23" s="154"/>
      <c r="AE23" s="151">
        <v>2000</v>
      </c>
      <c r="AF23" s="151"/>
      <c r="AG23" s="155"/>
      <c r="AH23" s="153"/>
      <c r="AI23" s="154">
        <v>500</v>
      </c>
      <c r="AJ23" s="157"/>
      <c r="AK23" s="158">
        <v>1000</v>
      </c>
      <c r="AL23" s="158"/>
      <c r="AM23" s="158">
        <v>220</v>
      </c>
      <c r="AN23" s="159"/>
      <c r="AO23" s="160">
        <f t="shared" si="20"/>
        <v>104175</v>
      </c>
      <c r="AP23" s="161"/>
      <c r="AQ23" s="161">
        <f t="shared" si="21"/>
        <v>220</v>
      </c>
      <c r="AR23" s="161">
        <f t="shared" si="22"/>
        <v>0</v>
      </c>
      <c r="AS23" s="162">
        <v>145564</v>
      </c>
      <c r="AT23" s="163">
        <f t="shared" si="1"/>
        <v>1.3943579673356004</v>
      </c>
      <c r="AU23" s="164">
        <v>2940</v>
      </c>
      <c r="AV23" s="165">
        <v>10080</v>
      </c>
      <c r="AW23" s="152">
        <v>150</v>
      </c>
      <c r="AX23" s="156">
        <v>5000</v>
      </c>
      <c r="AY23" s="156"/>
      <c r="AZ23" s="156">
        <v>200</v>
      </c>
      <c r="BA23" s="166">
        <v>200</v>
      </c>
      <c r="BB23" s="167">
        <f t="shared" si="2"/>
        <v>18570</v>
      </c>
      <c r="BC23" s="168">
        <v>168</v>
      </c>
      <c r="BD23" s="167">
        <f t="shared" si="3"/>
        <v>168</v>
      </c>
      <c r="BE23" s="169"/>
      <c r="BF23" s="170"/>
      <c r="BG23" s="171"/>
      <c r="BH23" s="171">
        <v>625</v>
      </c>
      <c r="BI23" s="172"/>
      <c r="BJ23" s="173">
        <f t="shared" si="4"/>
        <v>625</v>
      </c>
      <c r="BK23" s="169">
        <v>800</v>
      </c>
      <c r="BL23" s="171">
        <v>1640</v>
      </c>
      <c r="BM23" s="171">
        <v>1600</v>
      </c>
      <c r="BN23" s="171"/>
      <c r="BO23" s="171"/>
      <c r="BP23" s="174"/>
      <c r="BQ23" s="172"/>
      <c r="BR23" s="175">
        <f t="shared" si="5"/>
        <v>4040</v>
      </c>
      <c r="BS23" s="164">
        <v>120</v>
      </c>
      <c r="BT23" s="165">
        <v>400</v>
      </c>
      <c r="BU23" s="165"/>
      <c r="BV23" s="165">
        <v>100</v>
      </c>
      <c r="BW23" s="165">
        <v>200</v>
      </c>
      <c r="BX23" s="165">
        <v>1040</v>
      </c>
      <c r="BY23" s="152">
        <v>900</v>
      </c>
      <c r="BZ23" s="152">
        <v>20</v>
      </c>
      <c r="CA23" s="152"/>
      <c r="CB23" s="152"/>
      <c r="CC23" s="165">
        <v>110</v>
      </c>
      <c r="CD23" s="152">
        <v>150</v>
      </c>
      <c r="CE23" s="165">
        <v>50</v>
      </c>
      <c r="CF23" s="152">
        <v>50</v>
      </c>
      <c r="CG23" s="152"/>
      <c r="CH23" s="152"/>
      <c r="CI23" s="152">
        <v>200</v>
      </c>
      <c r="CJ23" s="152"/>
      <c r="CK23" s="152">
        <v>840</v>
      </c>
      <c r="CL23" s="166">
        <v>280</v>
      </c>
      <c r="CM23" s="176">
        <f t="shared" si="6"/>
        <v>4460</v>
      </c>
      <c r="CN23" s="177"/>
      <c r="CO23" s="152"/>
      <c r="CP23" s="152">
        <v>200</v>
      </c>
      <c r="CQ23" s="152"/>
      <c r="CR23" s="152"/>
      <c r="CS23" s="152"/>
      <c r="CT23" s="152">
        <v>200</v>
      </c>
      <c r="CU23" s="152">
        <v>100</v>
      </c>
      <c r="CV23" s="152"/>
      <c r="CW23" s="152"/>
      <c r="CX23" s="152"/>
      <c r="CY23" s="152"/>
      <c r="CZ23" s="166"/>
      <c r="DA23" s="175">
        <f t="shared" si="7"/>
        <v>500</v>
      </c>
      <c r="DB23" s="178">
        <f t="shared" si="8"/>
        <v>4460</v>
      </c>
      <c r="DC23" s="155">
        <f t="shared" si="9"/>
        <v>0</v>
      </c>
      <c r="DD23" s="155">
        <f t="shared" si="10"/>
        <v>4665</v>
      </c>
      <c r="DE23" s="155">
        <f t="shared" si="11"/>
        <v>109746</v>
      </c>
      <c r="DF23" s="155">
        <f t="shared" si="12"/>
        <v>0</v>
      </c>
      <c r="DG23" s="155">
        <f t="shared" si="13"/>
        <v>0</v>
      </c>
      <c r="DH23" s="155">
        <f t="shared" si="14"/>
        <v>500</v>
      </c>
      <c r="DI23" s="179">
        <v>0</v>
      </c>
      <c r="DJ23" s="179">
        <v>0</v>
      </c>
      <c r="DK23" s="155">
        <f t="shared" si="15"/>
        <v>270.39999999999998</v>
      </c>
      <c r="DL23" s="180">
        <v>0</v>
      </c>
      <c r="DM23" s="181">
        <f t="shared" si="16"/>
        <v>4.1251606885242063E-2</v>
      </c>
      <c r="DN23" s="182"/>
      <c r="DO23" s="183">
        <f t="shared" si="17"/>
        <v>114706</v>
      </c>
      <c r="DP23" s="184">
        <f t="shared" si="18"/>
        <v>4935.3999999999996</v>
      </c>
    </row>
    <row r="24" spans="1:120">
      <c r="A24" s="196"/>
      <c r="B24" s="326">
        <f t="shared" si="19"/>
        <v>43282</v>
      </c>
      <c r="C24" s="150">
        <v>31065</v>
      </c>
      <c r="D24" s="147">
        <v>3500</v>
      </c>
      <c r="E24" s="148">
        <v>18600</v>
      </c>
      <c r="F24" s="149"/>
      <c r="G24" s="148">
        <v>500</v>
      </c>
      <c r="H24" s="150"/>
      <c r="I24" s="147"/>
      <c r="J24" s="150"/>
      <c r="K24" s="150"/>
      <c r="L24" s="150">
        <v>575</v>
      </c>
      <c r="M24" s="147">
        <v>1455</v>
      </c>
      <c r="N24" s="151"/>
      <c r="O24" s="149">
        <v>11700</v>
      </c>
      <c r="P24" s="152">
        <v>14300</v>
      </c>
      <c r="Q24" s="152"/>
      <c r="R24" s="151"/>
      <c r="S24" s="152"/>
      <c r="T24" s="151">
        <v>40</v>
      </c>
      <c r="U24" s="153"/>
      <c r="V24" s="154"/>
      <c r="W24" s="155"/>
      <c r="X24" s="156"/>
      <c r="Y24" s="152">
        <v>240</v>
      </c>
      <c r="Z24" s="152"/>
      <c r="AA24" s="153"/>
      <c r="AB24" s="154"/>
      <c r="AC24" s="153">
        <v>4920</v>
      </c>
      <c r="AD24" s="154">
        <v>500</v>
      </c>
      <c r="AE24" s="151">
        <v>4000</v>
      </c>
      <c r="AF24" s="151"/>
      <c r="AG24" s="155"/>
      <c r="AH24" s="153"/>
      <c r="AI24" s="154"/>
      <c r="AJ24" s="157"/>
      <c r="AK24" s="158">
        <v>1000</v>
      </c>
      <c r="AL24" s="158"/>
      <c r="AM24" s="158"/>
      <c r="AN24" s="159"/>
      <c r="AO24" s="160">
        <f t="shared" si="20"/>
        <v>92395</v>
      </c>
      <c r="AP24" s="161"/>
      <c r="AQ24" s="161">
        <f t="shared" si="21"/>
        <v>0</v>
      </c>
      <c r="AR24" s="161">
        <f t="shared" si="22"/>
        <v>0</v>
      </c>
      <c r="AS24" s="162">
        <v>154383</v>
      </c>
      <c r="AT24" s="163">
        <f t="shared" si="1"/>
        <v>1.670902105092267</v>
      </c>
      <c r="AU24" s="164">
        <v>3360</v>
      </c>
      <c r="AV24" s="165">
        <v>10680</v>
      </c>
      <c r="AW24" s="152"/>
      <c r="AX24" s="156">
        <v>4250</v>
      </c>
      <c r="AY24" s="156">
        <v>1000</v>
      </c>
      <c r="AZ24" s="156">
        <v>40</v>
      </c>
      <c r="BA24" s="166">
        <v>200</v>
      </c>
      <c r="BB24" s="167">
        <f t="shared" si="2"/>
        <v>19530</v>
      </c>
      <c r="BC24" s="168"/>
      <c r="BD24" s="167">
        <f t="shared" si="3"/>
        <v>0</v>
      </c>
      <c r="BE24" s="169"/>
      <c r="BF24" s="170">
        <v>1000</v>
      </c>
      <c r="BG24" s="171">
        <v>500</v>
      </c>
      <c r="BH24" s="171">
        <v>1725</v>
      </c>
      <c r="BI24" s="172"/>
      <c r="BJ24" s="173">
        <f t="shared" si="4"/>
        <v>3225</v>
      </c>
      <c r="BK24" s="169">
        <v>2400</v>
      </c>
      <c r="BL24" s="171">
        <v>2280</v>
      </c>
      <c r="BM24" s="171">
        <v>3200</v>
      </c>
      <c r="BN24" s="171"/>
      <c r="BO24" s="171"/>
      <c r="BP24" s="174"/>
      <c r="BQ24" s="172"/>
      <c r="BR24" s="175">
        <f t="shared" si="5"/>
        <v>7880</v>
      </c>
      <c r="BS24" s="164">
        <v>40</v>
      </c>
      <c r="BT24" s="165">
        <v>20</v>
      </c>
      <c r="BU24" s="165"/>
      <c r="BV24" s="165"/>
      <c r="BW24" s="165">
        <v>40</v>
      </c>
      <c r="BX24" s="165">
        <v>1020</v>
      </c>
      <c r="BY24" s="152">
        <v>680</v>
      </c>
      <c r="BZ24" s="152">
        <v>80</v>
      </c>
      <c r="CA24" s="152"/>
      <c r="CB24" s="152"/>
      <c r="CC24" s="165"/>
      <c r="CD24" s="152">
        <v>30</v>
      </c>
      <c r="CE24" s="165"/>
      <c r="CF24" s="152"/>
      <c r="CG24" s="152"/>
      <c r="CH24" s="152"/>
      <c r="CI24" s="152"/>
      <c r="CJ24" s="152"/>
      <c r="CK24" s="152">
        <v>800</v>
      </c>
      <c r="CL24" s="166">
        <v>100</v>
      </c>
      <c r="CM24" s="176">
        <f t="shared" si="6"/>
        <v>2810</v>
      </c>
      <c r="CN24" s="177"/>
      <c r="CO24" s="152">
        <v>5</v>
      </c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66">
        <v>80</v>
      </c>
      <c r="DA24" s="175">
        <f t="shared" si="7"/>
        <v>85</v>
      </c>
      <c r="DB24" s="186">
        <f t="shared" si="8"/>
        <v>2810</v>
      </c>
      <c r="DC24" s="187">
        <f t="shared" si="9"/>
        <v>0</v>
      </c>
      <c r="DD24" s="187">
        <f t="shared" si="10"/>
        <v>11105</v>
      </c>
      <c r="DE24" s="187">
        <f t="shared" si="11"/>
        <v>98254</v>
      </c>
      <c r="DF24" s="187">
        <f t="shared" si="12"/>
        <v>0</v>
      </c>
      <c r="DG24" s="187">
        <f t="shared" si="13"/>
        <v>0</v>
      </c>
      <c r="DH24" s="187">
        <f t="shared" si="14"/>
        <v>85</v>
      </c>
      <c r="DI24" s="188">
        <v>0</v>
      </c>
      <c r="DJ24" s="188">
        <v>0</v>
      </c>
      <c r="DK24" s="187">
        <f t="shared" si="15"/>
        <v>0</v>
      </c>
      <c r="DL24" s="189">
        <v>0</v>
      </c>
      <c r="DM24" s="190">
        <f t="shared" si="16"/>
        <v>9.8927432430024762E-2</v>
      </c>
      <c r="DN24" s="182"/>
      <c r="DO24" s="183">
        <f t="shared" si="17"/>
        <v>101149</v>
      </c>
      <c r="DP24" s="184">
        <f t="shared" si="18"/>
        <v>11105</v>
      </c>
    </row>
    <row r="25" spans="1:120">
      <c r="A25" s="146"/>
      <c r="B25" s="318">
        <f t="shared" si="19"/>
        <v>43313</v>
      </c>
      <c r="C25" s="150">
        <v>29220</v>
      </c>
      <c r="D25" s="147">
        <v>3000</v>
      </c>
      <c r="E25" s="148">
        <v>14520</v>
      </c>
      <c r="F25" s="149"/>
      <c r="G25" s="148"/>
      <c r="H25" s="150"/>
      <c r="I25" s="147"/>
      <c r="J25" s="150"/>
      <c r="K25" s="150"/>
      <c r="L25" s="150">
        <v>550</v>
      </c>
      <c r="M25" s="147">
        <v>1320</v>
      </c>
      <c r="N25" s="151"/>
      <c r="O25" s="149">
        <v>7380</v>
      </c>
      <c r="P25" s="152">
        <v>9450</v>
      </c>
      <c r="Q25" s="152"/>
      <c r="R25" s="151"/>
      <c r="S25" s="152"/>
      <c r="T25" s="151">
        <v>140</v>
      </c>
      <c r="U25" s="153"/>
      <c r="V25" s="154"/>
      <c r="W25" s="155"/>
      <c r="X25" s="156"/>
      <c r="Y25" s="152">
        <v>980</v>
      </c>
      <c r="Z25" s="152"/>
      <c r="AA25" s="153"/>
      <c r="AB25" s="154"/>
      <c r="AC25" s="153">
        <v>3780</v>
      </c>
      <c r="AD25" s="154"/>
      <c r="AE25" s="151">
        <v>2000</v>
      </c>
      <c r="AF25" s="151"/>
      <c r="AG25" s="155"/>
      <c r="AH25" s="153"/>
      <c r="AI25" s="154"/>
      <c r="AJ25" s="157"/>
      <c r="AK25" s="158"/>
      <c r="AL25" s="158"/>
      <c r="AM25" s="158"/>
      <c r="AN25" s="159"/>
      <c r="AO25" s="160">
        <f t="shared" si="20"/>
        <v>72340</v>
      </c>
      <c r="AP25" s="161"/>
      <c r="AQ25" s="161">
        <f t="shared" si="21"/>
        <v>0</v>
      </c>
      <c r="AR25" s="161">
        <f t="shared" si="22"/>
        <v>0</v>
      </c>
      <c r="AS25" s="162">
        <v>127911</v>
      </c>
      <c r="AT25" s="163">
        <f t="shared" si="1"/>
        <v>1.7681918717168925</v>
      </c>
      <c r="AU25" s="164">
        <v>900</v>
      </c>
      <c r="AV25" s="165">
        <v>6840</v>
      </c>
      <c r="AW25" s="152">
        <v>120</v>
      </c>
      <c r="AX25" s="156">
        <v>4520</v>
      </c>
      <c r="AY25" s="156">
        <v>450</v>
      </c>
      <c r="AZ25" s="156"/>
      <c r="BA25" s="166">
        <v>160</v>
      </c>
      <c r="BB25" s="167">
        <f t="shared" si="2"/>
        <v>12990</v>
      </c>
      <c r="BC25" s="168">
        <v>96</v>
      </c>
      <c r="BD25" s="167">
        <f t="shared" si="3"/>
        <v>96</v>
      </c>
      <c r="BE25" s="169"/>
      <c r="BF25" s="170">
        <v>1000</v>
      </c>
      <c r="BG25" s="171"/>
      <c r="BH25" s="171">
        <v>1325</v>
      </c>
      <c r="BI25" s="172"/>
      <c r="BJ25" s="173">
        <f t="shared" si="4"/>
        <v>2325</v>
      </c>
      <c r="BK25" s="169">
        <v>800</v>
      </c>
      <c r="BL25" s="171">
        <v>2100</v>
      </c>
      <c r="BM25" s="171">
        <v>1600</v>
      </c>
      <c r="BN25" s="171"/>
      <c r="BO25" s="171"/>
      <c r="BP25" s="174"/>
      <c r="BQ25" s="172"/>
      <c r="BR25" s="175">
        <f t="shared" si="5"/>
        <v>4500</v>
      </c>
      <c r="BS25" s="164">
        <v>40</v>
      </c>
      <c r="BT25" s="165">
        <v>100</v>
      </c>
      <c r="BU25" s="165"/>
      <c r="BV25" s="165"/>
      <c r="BW25" s="165">
        <v>40</v>
      </c>
      <c r="BX25" s="165">
        <v>980</v>
      </c>
      <c r="BY25" s="152">
        <v>780</v>
      </c>
      <c r="BZ25" s="152"/>
      <c r="CA25" s="152"/>
      <c r="CB25" s="152"/>
      <c r="CC25" s="165"/>
      <c r="CD25" s="152">
        <v>90</v>
      </c>
      <c r="CE25" s="165"/>
      <c r="CF25" s="152"/>
      <c r="CG25" s="152"/>
      <c r="CH25" s="152"/>
      <c r="CI25" s="152">
        <v>100</v>
      </c>
      <c r="CJ25" s="152"/>
      <c r="CK25" s="152">
        <v>700</v>
      </c>
      <c r="CL25" s="166">
        <v>40</v>
      </c>
      <c r="CM25" s="176">
        <f t="shared" si="6"/>
        <v>2870</v>
      </c>
      <c r="CN25" s="177"/>
      <c r="CO25" s="152"/>
      <c r="CP25" s="152">
        <v>440</v>
      </c>
      <c r="CQ25" s="152"/>
      <c r="CR25" s="152"/>
      <c r="CS25" s="152"/>
      <c r="CT25" s="152"/>
      <c r="CU25" s="152">
        <v>200</v>
      </c>
      <c r="CV25" s="152"/>
      <c r="CW25" s="152"/>
      <c r="CX25" s="152"/>
      <c r="CY25" s="152"/>
      <c r="CZ25" s="166"/>
      <c r="DA25" s="175">
        <f t="shared" si="7"/>
        <v>640</v>
      </c>
      <c r="DB25" s="178">
        <f t="shared" si="8"/>
        <v>2870</v>
      </c>
      <c r="DC25" s="155">
        <f t="shared" si="9"/>
        <v>0</v>
      </c>
      <c r="DD25" s="155">
        <f t="shared" si="10"/>
        <v>6825</v>
      </c>
      <c r="DE25" s="155">
        <f t="shared" si="11"/>
        <v>76237</v>
      </c>
      <c r="DF25" s="155">
        <f t="shared" si="12"/>
        <v>0</v>
      </c>
      <c r="DG25" s="155">
        <f t="shared" si="13"/>
        <v>0</v>
      </c>
      <c r="DH25" s="155">
        <f t="shared" si="14"/>
        <v>640</v>
      </c>
      <c r="DI25" s="179">
        <v>0</v>
      </c>
      <c r="DJ25" s="179">
        <v>0</v>
      </c>
      <c r="DK25" s="155">
        <f t="shared" si="15"/>
        <v>28.799999999999997</v>
      </c>
      <c r="DL25" s="180">
        <v>0</v>
      </c>
      <c r="DM25" s="181">
        <f t="shared" si="16"/>
        <v>7.9142455958836413E-2</v>
      </c>
      <c r="DN25" s="182"/>
      <c r="DO25" s="183">
        <f t="shared" si="17"/>
        <v>79747</v>
      </c>
      <c r="DP25" s="184">
        <f t="shared" si="18"/>
        <v>6853.8</v>
      </c>
    </row>
    <row r="26" spans="1:120">
      <c r="A26" s="146"/>
      <c r="B26" s="318">
        <f t="shared" si="19"/>
        <v>43344</v>
      </c>
      <c r="C26" s="150">
        <v>35580</v>
      </c>
      <c r="D26" s="147">
        <v>2500</v>
      </c>
      <c r="E26" s="148">
        <v>20190</v>
      </c>
      <c r="F26" s="149"/>
      <c r="G26" s="148"/>
      <c r="H26" s="150"/>
      <c r="I26" s="147"/>
      <c r="J26" s="150"/>
      <c r="K26" s="150"/>
      <c r="L26" s="150">
        <v>625</v>
      </c>
      <c r="M26" s="147">
        <v>1260</v>
      </c>
      <c r="N26" s="151"/>
      <c r="O26" s="149">
        <v>11700</v>
      </c>
      <c r="P26" s="152">
        <v>9875</v>
      </c>
      <c r="Q26" s="152"/>
      <c r="R26" s="151"/>
      <c r="S26" s="152"/>
      <c r="T26" s="151">
        <v>160</v>
      </c>
      <c r="U26" s="153"/>
      <c r="V26" s="154"/>
      <c r="W26" s="155"/>
      <c r="X26" s="156"/>
      <c r="Y26" s="152">
        <v>1227.5</v>
      </c>
      <c r="Z26" s="152">
        <v>150</v>
      </c>
      <c r="AA26" s="153"/>
      <c r="AB26" s="154"/>
      <c r="AC26" s="153">
        <v>5040</v>
      </c>
      <c r="AD26" s="154">
        <v>500</v>
      </c>
      <c r="AE26" s="151">
        <v>2000</v>
      </c>
      <c r="AF26" s="151"/>
      <c r="AG26" s="155"/>
      <c r="AH26" s="153"/>
      <c r="AI26" s="154">
        <v>1000</v>
      </c>
      <c r="AJ26" s="157"/>
      <c r="AK26" s="158"/>
      <c r="AL26" s="158"/>
      <c r="AM26" s="158"/>
      <c r="AN26" s="159"/>
      <c r="AO26" s="160">
        <f t="shared" si="20"/>
        <v>91807.5</v>
      </c>
      <c r="AP26" s="161"/>
      <c r="AQ26" s="161">
        <f t="shared" si="21"/>
        <v>0</v>
      </c>
      <c r="AR26" s="161">
        <f t="shared" si="22"/>
        <v>0</v>
      </c>
      <c r="AS26" s="162">
        <v>151002</v>
      </c>
      <c r="AT26" s="163">
        <f t="shared" si="1"/>
        <v>1.6447675843476841</v>
      </c>
      <c r="AU26" s="164">
        <v>1920</v>
      </c>
      <c r="AV26" s="165">
        <v>10530</v>
      </c>
      <c r="AW26" s="152"/>
      <c r="AX26" s="156">
        <v>6500</v>
      </c>
      <c r="AY26" s="156"/>
      <c r="AZ26" s="156">
        <v>180</v>
      </c>
      <c r="BA26" s="166">
        <v>760</v>
      </c>
      <c r="BB26" s="167">
        <f t="shared" si="2"/>
        <v>19890</v>
      </c>
      <c r="BC26" s="168"/>
      <c r="BD26" s="167">
        <f t="shared" si="3"/>
        <v>0</v>
      </c>
      <c r="BE26" s="169"/>
      <c r="BF26" s="170">
        <v>500</v>
      </c>
      <c r="BG26" s="171">
        <v>500</v>
      </c>
      <c r="BH26" s="171">
        <v>1650</v>
      </c>
      <c r="BI26" s="172"/>
      <c r="BJ26" s="173">
        <f t="shared" si="4"/>
        <v>2650</v>
      </c>
      <c r="BK26" s="169">
        <v>2400</v>
      </c>
      <c r="BL26" s="171">
        <v>1880</v>
      </c>
      <c r="BM26" s="171">
        <v>3200</v>
      </c>
      <c r="BN26" s="171"/>
      <c r="BO26" s="171"/>
      <c r="BP26" s="174"/>
      <c r="BQ26" s="172"/>
      <c r="BR26" s="175">
        <f t="shared" si="5"/>
        <v>7480</v>
      </c>
      <c r="BS26" s="164">
        <v>120</v>
      </c>
      <c r="BT26" s="165">
        <v>120</v>
      </c>
      <c r="BU26" s="165"/>
      <c r="BV26" s="165">
        <v>80</v>
      </c>
      <c r="BW26" s="165">
        <v>120</v>
      </c>
      <c r="BX26" s="165">
        <v>1040</v>
      </c>
      <c r="BY26" s="152">
        <v>880</v>
      </c>
      <c r="BZ26" s="152">
        <v>40</v>
      </c>
      <c r="CA26" s="152"/>
      <c r="CB26" s="152"/>
      <c r="CC26" s="165"/>
      <c r="CD26" s="152"/>
      <c r="CE26" s="165">
        <v>15</v>
      </c>
      <c r="CF26" s="152"/>
      <c r="CG26" s="152"/>
      <c r="CH26" s="152"/>
      <c r="CI26" s="152"/>
      <c r="CJ26" s="152"/>
      <c r="CK26" s="152">
        <v>780</v>
      </c>
      <c r="CL26" s="166">
        <v>360</v>
      </c>
      <c r="CM26" s="176">
        <f t="shared" si="6"/>
        <v>3555</v>
      </c>
      <c r="CN26" s="177">
        <v>5</v>
      </c>
      <c r="CO26" s="152"/>
      <c r="CP26" s="152">
        <v>170</v>
      </c>
      <c r="CQ26" s="152"/>
      <c r="CR26" s="152"/>
      <c r="CS26" s="152"/>
      <c r="CT26" s="152">
        <v>35</v>
      </c>
      <c r="CU26" s="152"/>
      <c r="CV26" s="152"/>
      <c r="CW26" s="152"/>
      <c r="CX26" s="152"/>
      <c r="CY26" s="152"/>
      <c r="CZ26" s="166"/>
      <c r="DA26" s="175">
        <f t="shared" si="7"/>
        <v>210</v>
      </c>
      <c r="DB26" s="186">
        <f t="shared" si="8"/>
        <v>3555</v>
      </c>
      <c r="DC26" s="187">
        <f t="shared" si="9"/>
        <v>0</v>
      </c>
      <c r="DD26" s="187">
        <f t="shared" si="10"/>
        <v>10130</v>
      </c>
      <c r="DE26" s="187">
        <f t="shared" si="11"/>
        <v>97774.5</v>
      </c>
      <c r="DF26" s="187">
        <f t="shared" si="12"/>
        <v>0</v>
      </c>
      <c r="DG26" s="187">
        <f t="shared" si="13"/>
        <v>0</v>
      </c>
      <c r="DH26" s="187">
        <f t="shared" si="14"/>
        <v>210</v>
      </c>
      <c r="DI26" s="188">
        <v>0</v>
      </c>
      <c r="DJ26" s="188">
        <v>0</v>
      </c>
      <c r="DK26" s="187">
        <f t="shared" si="15"/>
        <v>0</v>
      </c>
      <c r="DL26" s="189">
        <v>0</v>
      </c>
      <c r="DM26" s="190">
        <f t="shared" si="16"/>
        <v>9.071411620899171E-2</v>
      </c>
      <c r="DN26" s="182"/>
      <c r="DO26" s="183">
        <f t="shared" si="17"/>
        <v>101539.5</v>
      </c>
      <c r="DP26" s="184">
        <f t="shared" si="18"/>
        <v>10130</v>
      </c>
    </row>
    <row r="27" spans="1:120">
      <c r="A27" s="146"/>
      <c r="B27" s="318">
        <f t="shared" si="19"/>
        <v>43374</v>
      </c>
      <c r="C27" s="150">
        <v>36960</v>
      </c>
      <c r="D27" s="147">
        <v>2000</v>
      </c>
      <c r="E27" s="148">
        <v>17250</v>
      </c>
      <c r="F27" s="149"/>
      <c r="G27" s="148"/>
      <c r="H27" s="150"/>
      <c r="I27" s="147">
        <v>120</v>
      </c>
      <c r="J27" s="150"/>
      <c r="K27" s="150"/>
      <c r="L27" s="150">
        <v>675</v>
      </c>
      <c r="M27" s="147">
        <v>1200</v>
      </c>
      <c r="N27" s="151"/>
      <c r="O27" s="149">
        <v>12150</v>
      </c>
      <c r="P27" s="152">
        <v>12850</v>
      </c>
      <c r="Q27" s="152">
        <v>1125</v>
      </c>
      <c r="R27" s="151"/>
      <c r="S27" s="152"/>
      <c r="T27" s="151">
        <v>140</v>
      </c>
      <c r="U27" s="153"/>
      <c r="V27" s="154"/>
      <c r="W27" s="155"/>
      <c r="X27" s="156"/>
      <c r="Y27" s="152">
        <v>362.5</v>
      </c>
      <c r="Z27" s="152"/>
      <c r="AA27" s="153"/>
      <c r="AB27" s="154"/>
      <c r="AC27" s="153">
        <v>7560</v>
      </c>
      <c r="AD27" s="154"/>
      <c r="AE27" s="151">
        <v>4000</v>
      </c>
      <c r="AF27" s="151"/>
      <c r="AG27" s="155"/>
      <c r="AH27" s="153"/>
      <c r="AI27" s="154"/>
      <c r="AJ27" s="157"/>
      <c r="AK27" s="158">
        <v>1000</v>
      </c>
      <c r="AL27" s="158"/>
      <c r="AM27" s="158"/>
      <c r="AN27" s="159"/>
      <c r="AO27" s="160">
        <f t="shared" si="20"/>
        <v>97392.5</v>
      </c>
      <c r="AP27" s="161"/>
      <c r="AQ27" s="161">
        <f t="shared" si="21"/>
        <v>0</v>
      </c>
      <c r="AR27" s="161">
        <f t="shared" si="22"/>
        <v>0</v>
      </c>
      <c r="AS27" s="162">
        <v>160300</v>
      </c>
      <c r="AT27" s="163">
        <f t="shared" si="1"/>
        <v>1.6459172934260853</v>
      </c>
      <c r="AU27" s="164">
        <v>2160</v>
      </c>
      <c r="AV27" s="165">
        <v>11730</v>
      </c>
      <c r="AW27" s="152">
        <v>240</v>
      </c>
      <c r="AX27" s="156">
        <v>5500</v>
      </c>
      <c r="AY27" s="156">
        <v>250</v>
      </c>
      <c r="AZ27" s="156">
        <v>60</v>
      </c>
      <c r="BA27" s="166">
        <v>120</v>
      </c>
      <c r="BB27" s="167">
        <f t="shared" si="2"/>
        <v>20060</v>
      </c>
      <c r="BC27" s="168"/>
      <c r="BD27" s="167">
        <f t="shared" si="3"/>
        <v>0</v>
      </c>
      <c r="BE27" s="169"/>
      <c r="BF27" s="170">
        <v>1000</v>
      </c>
      <c r="BG27" s="171">
        <v>500</v>
      </c>
      <c r="BH27" s="171">
        <v>1950</v>
      </c>
      <c r="BI27" s="172"/>
      <c r="BJ27" s="173">
        <f t="shared" si="4"/>
        <v>3450</v>
      </c>
      <c r="BK27" s="169">
        <v>1600</v>
      </c>
      <c r="BL27" s="171">
        <v>3160</v>
      </c>
      <c r="BM27" s="171">
        <v>1600</v>
      </c>
      <c r="BN27" s="171"/>
      <c r="BO27" s="171"/>
      <c r="BP27" s="174"/>
      <c r="BQ27" s="172"/>
      <c r="BR27" s="175">
        <f t="shared" si="5"/>
        <v>6360</v>
      </c>
      <c r="BS27" s="164">
        <v>220</v>
      </c>
      <c r="BT27" s="165">
        <v>300</v>
      </c>
      <c r="BU27" s="165"/>
      <c r="BV27" s="165">
        <v>80</v>
      </c>
      <c r="BW27" s="165">
        <v>140</v>
      </c>
      <c r="BX27" s="165">
        <v>1300</v>
      </c>
      <c r="BY27" s="152">
        <v>740</v>
      </c>
      <c r="BZ27" s="152">
        <v>20</v>
      </c>
      <c r="CA27" s="152"/>
      <c r="CB27" s="152"/>
      <c r="CC27" s="165"/>
      <c r="CD27" s="152"/>
      <c r="CE27" s="165"/>
      <c r="CF27" s="152"/>
      <c r="CG27" s="152"/>
      <c r="CH27" s="152"/>
      <c r="CI27" s="152">
        <v>200</v>
      </c>
      <c r="CJ27" s="152"/>
      <c r="CK27" s="152">
        <v>1040</v>
      </c>
      <c r="CL27" s="166">
        <v>520</v>
      </c>
      <c r="CM27" s="176">
        <f t="shared" si="6"/>
        <v>4560</v>
      </c>
      <c r="CN27" s="177"/>
      <c r="CO27" s="152"/>
      <c r="CP27" s="152">
        <v>100</v>
      </c>
      <c r="CQ27" s="152"/>
      <c r="CR27" s="152"/>
      <c r="CS27" s="152">
        <v>100</v>
      </c>
      <c r="CT27" s="152">
        <v>225</v>
      </c>
      <c r="CU27" s="152">
        <v>200</v>
      </c>
      <c r="CV27" s="152"/>
      <c r="CW27" s="152"/>
      <c r="CX27" s="152"/>
      <c r="CY27" s="152"/>
      <c r="CZ27" s="166"/>
      <c r="DA27" s="175">
        <f t="shared" si="7"/>
        <v>625</v>
      </c>
      <c r="DB27" s="178">
        <f t="shared" si="8"/>
        <v>4560</v>
      </c>
      <c r="DC27" s="155">
        <f t="shared" si="9"/>
        <v>0</v>
      </c>
      <c r="DD27" s="155">
        <f t="shared" si="10"/>
        <v>9810</v>
      </c>
      <c r="DE27" s="155">
        <f t="shared" si="11"/>
        <v>103410.5</v>
      </c>
      <c r="DF27" s="155">
        <f t="shared" si="12"/>
        <v>0</v>
      </c>
      <c r="DG27" s="155">
        <f t="shared" si="13"/>
        <v>0</v>
      </c>
      <c r="DH27" s="155">
        <f t="shared" si="14"/>
        <v>625</v>
      </c>
      <c r="DI27" s="179">
        <v>0</v>
      </c>
      <c r="DJ27" s="179">
        <v>0</v>
      </c>
      <c r="DK27" s="155">
        <f t="shared" si="15"/>
        <v>0</v>
      </c>
      <c r="DL27" s="180">
        <v>0</v>
      </c>
      <c r="DM27" s="181">
        <f t="shared" si="16"/>
        <v>8.2850881082382158E-2</v>
      </c>
      <c r="DN27" s="182"/>
      <c r="DO27" s="183">
        <f t="shared" si="17"/>
        <v>108595.5</v>
      </c>
      <c r="DP27" s="184">
        <f t="shared" si="18"/>
        <v>9810</v>
      </c>
    </row>
    <row r="28" spans="1:120">
      <c r="A28" s="146"/>
      <c r="B28" s="318">
        <f t="shared" si="19"/>
        <v>43405</v>
      </c>
      <c r="C28" s="150">
        <v>38430</v>
      </c>
      <c r="D28" s="147">
        <v>4000</v>
      </c>
      <c r="E28" s="148">
        <v>21420</v>
      </c>
      <c r="F28" s="149"/>
      <c r="G28" s="148"/>
      <c r="H28" s="150"/>
      <c r="I28" s="147">
        <v>120</v>
      </c>
      <c r="J28" s="150"/>
      <c r="K28" s="150"/>
      <c r="L28" s="150">
        <v>550</v>
      </c>
      <c r="M28" s="147">
        <v>1350</v>
      </c>
      <c r="N28" s="151"/>
      <c r="O28" s="149">
        <v>11430</v>
      </c>
      <c r="P28" s="152">
        <v>10600</v>
      </c>
      <c r="Q28" s="152"/>
      <c r="R28" s="151"/>
      <c r="S28" s="152"/>
      <c r="T28" s="151">
        <v>160</v>
      </c>
      <c r="U28" s="153"/>
      <c r="V28" s="154"/>
      <c r="W28" s="155"/>
      <c r="X28" s="156"/>
      <c r="Y28" s="152">
        <v>622.5</v>
      </c>
      <c r="Z28" s="152"/>
      <c r="AA28" s="153"/>
      <c r="AB28" s="154"/>
      <c r="AC28" s="153">
        <v>5040</v>
      </c>
      <c r="AD28" s="154">
        <v>1000</v>
      </c>
      <c r="AE28" s="151">
        <v>3000</v>
      </c>
      <c r="AF28" s="151"/>
      <c r="AG28" s="155"/>
      <c r="AH28" s="153"/>
      <c r="AI28" s="154"/>
      <c r="AJ28" s="157"/>
      <c r="AK28" s="158"/>
      <c r="AL28" s="158"/>
      <c r="AM28" s="158"/>
      <c r="AN28" s="159"/>
      <c r="AO28" s="160">
        <f t="shared" si="20"/>
        <v>97722.5</v>
      </c>
      <c r="AP28" s="161"/>
      <c r="AQ28" s="161">
        <f t="shared" si="21"/>
        <v>0</v>
      </c>
      <c r="AR28" s="161">
        <f t="shared" si="22"/>
        <v>0</v>
      </c>
      <c r="AS28" s="162">
        <v>155539</v>
      </c>
      <c r="AT28" s="163">
        <f t="shared" si="1"/>
        <v>1.59163959170099</v>
      </c>
      <c r="AU28" s="164">
        <v>3360</v>
      </c>
      <c r="AV28" s="165">
        <v>10290</v>
      </c>
      <c r="AW28" s="152"/>
      <c r="AX28" s="156">
        <v>5300</v>
      </c>
      <c r="AY28" s="156">
        <v>250</v>
      </c>
      <c r="AZ28" s="156">
        <v>80</v>
      </c>
      <c r="BA28" s="166">
        <v>400</v>
      </c>
      <c r="BB28" s="167">
        <f t="shared" si="2"/>
        <v>19680</v>
      </c>
      <c r="BC28" s="168"/>
      <c r="BD28" s="167">
        <f t="shared" si="3"/>
        <v>0</v>
      </c>
      <c r="BE28" s="169"/>
      <c r="BF28" s="170">
        <v>1500</v>
      </c>
      <c r="BG28" s="171"/>
      <c r="BH28" s="171">
        <v>1300</v>
      </c>
      <c r="BI28" s="172"/>
      <c r="BJ28" s="173">
        <f t="shared" si="4"/>
        <v>2800</v>
      </c>
      <c r="BK28" s="169">
        <v>2400</v>
      </c>
      <c r="BL28" s="171">
        <v>2340</v>
      </c>
      <c r="BM28" s="171">
        <v>3200</v>
      </c>
      <c r="BN28" s="171"/>
      <c r="BO28" s="171"/>
      <c r="BP28" s="174"/>
      <c r="BQ28" s="172"/>
      <c r="BR28" s="175">
        <f t="shared" si="5"/>
        <v>7940</v>
      </c>
      <c r="BS28" s="164">
        <v>100</v>
      </c>
      <c r="BT28" s="165">
        <v>220</v>
      </c>
      <c r="BU28" s="165"/>
      <c r="BV28" s="165"/>
      <c r="BW28" s="165">
        <v>100</v>
      </c>
      <c r="BX28" s="165">
        <v>1260</v>
      </c>
      <c r="BY28" s="152">
        <v>880</v>
      </c>
      <c r="BZ28" s="152">
        <v>40</v>
      </c>
      <c r="CA28" s="152"/>
      <c r="CB28" s="152"/>
      <c r="CC28" s="165">
        <v>70</v>
      </c>
      <c r="CD28" s="152">
        <v>40</v>
      </c>
      <c r="CE28" s="165">
        <v>50</v>
      </c>
      <c r="CF28" s="152">
        <v>40</v>
      </c>
      <c r="CG28" s="152"/>
      <c r="CH28" s="152"/>
      <c r="CI28" s="152"/>
      <c r="CJ28" s="152"/>
      <c r="CK28" s="152">
        <v>1180</v>
      </c>
      <c r="CL28" s="166">
        <v>300</v>
      </c>
      <c r="CM28" s="176">
        <f t="shared" si="6"/>
        <v>4280</v>
      </c>
      <c r="CN28" s="177"/>
      <c r="CO28" s="152">
        <v>10</v>
      </c>
      <c r="CP28" s="152">
        <v>385</v>
      </c>
      <c r="CQ28" s="152"/>
      <c r="CR28" s="152"/>
      <c r="CS28" s="152">
        <v>25</v>
      </c>
      <c r="CT28" s="152"/>
      <c r="CU28" s="152"/>
      <c r="CV28" s="152">
        <v>15</v>
      </c>
      <c r="CW28" s="152"/>
      <c r="CX28" s="152">
        <v>30</v>
      </c>
      <c r="CY28" s="152"/>
      <c r="CZ28" s="166"/>
      <c r="DA28" s="175">
        <f t="shared" si="7"/>
        <v>465</v>
      </c>
      <c r="DB28" s="186">
        <f t="shared" si="8"/>
        <v>4280</v>
      </c>
      <c r="DC28" s="187">
        <f t="shared" si="9"/>
        <v>0</v>
      </c>
      <c r="DD28" s="187">
        <f t="shared" si="10"/>
        <v>10740</v>
      </c>
      <c r="DE28" s="187">
        <f t="shared" si="11"/>
        <v>103626.5</v>
      </c>
      <c r="DF28" s="187">
        <f t="shared" si="12"/>
        <v>0</v>
      </c>
      <c r="DG28" s="187">
        <f t="shared" si="13"/>
        <v>0</v>
      </c>
      <c r="DH28" s="187">
        <f t="shared" si="14"/>
        <v>465</v>
      </c>
      <c r="DI28" s="188">
        <v>0</v>
      </c>
      <c r="DJ28" s="188">
        <v>0</v>
      </c>
      <c r="DK28" s="187">
        <f t="shared" si="15"/>
        <v>0</v>
      </c>
      <c r="DL28" s="189">
        <v>0</v>
      </c>
      <c r="DM28" s="190">
        <f t="shared" si="16"/>
        <v>9.016761605722369E-2</v>
      </c>
      <c r="DN28" s="182"/>
      <c r="DO28" s="183">
        <f t="shared" si="17"/>
        <v>108371.5</v>
      </c>
      <c r="DP28" s="184">
        <f t="shared" si="18"/>
        <v>10740</v>
      </c>
    </row>
    <row r="29" spans="1:120">
      <c r="A29" s="146"/>
      <c r="B29" s="318">
        <f t="shared" si="19"/>
        <v>43435</v>
      </c>
      <c r="C29" s="150">
        <v>41145</v>
      </c>
      <c r="D29" s="147">
        <v>2500</v>
      </c>
      <c r="E29" s="148">
        <v>19275</v>
      </c>
      <c r="F29" s="149"/>
      <c r="G29" s="148"/>
      <c r="H29" s="150"/>
      <c r="I29" s="147"/>
      <c r="J29" s="150"/>
      <c r="K29" s="150"/>
      <c r="L29" s="150">
        <v>400</v>
      </c>
      <c r="M29" s="147">
        <v>1290</v>
      </c>
      <c r="N29" s="151"/>
      <c r="O29" s="149">
        <v>12615</v>
      </c>
      <c r="P29" s="152">
        <v>4250</v>
      </c>
      <c r="Q29" s="152"/>
      <c r="R29" s="151"/>
      <c r="S29" s="152"/>
      <c r="T29" s="151">
        <v>80</v>
      </c>
      <c r="U29" s="153"/>
      <c r="V29" s="154"/>
      <c r="W29" s="155"/>
      <c r="X29" s="156"/>
      <c r="Y29" s="152">
        <v>120</v>
      </c>
      <c r="Z29" s="152"/>
      <c r="AA29" s="153"/>
      <c r="AB29" s="154"/>
      <c r="AC29" s="153">
        <v>6300</v>
      </c>
      <c r="AD29" s="154"/>
      <c r="AE29" s="151">
        <v>4000</v>
      </c>
      <c r="AF29" s="151"/>
      <c r="AG29" s="155"/>
      <c r="AH29" s="153"/>
      <c r="AI29" s="154"/>
      <c r="AJ29" s="157"/>
      <c r="AK29" s="158"/>
      <c r="AL29" s="158"/>
      <c r="AM29" s="158">
        <v>160</v>
      </c>
      <c r="AN29" s="159"/>
      <c r="AO29" s="160">
        <f t="shared" si="20"/>
        <v>91975</v>
      </c>
      <c r="AP29" s="161"/>
      <c r="AQ29" s="161">
        <f t="shared" si="21"/>
        <v>160</v>
      </c>
      <c r="AR29" s="161">
        <f t="shared" si="22"/>
        <v>0</v>
      </c>
      <c r="AS29" s="162">
        <v>144924</v>
      </c>
      <c r="AT29" s="163">
        <f t="shared" si="1"/>
        <v>1.5729527324035384</v>
      </c>
      <c r="AU29" s="164">
        <v>1920</v>
      </c>
      <c r="AV29" s="165">
        <v>9870</v>
      </c>
      <c r="AW29" s="152">
        <v>210</v>
      </c>
      <c r="AX29" s="156">
        <v>5200</v>
      </c>
      <c r="AY29" s="156">
        <v>900</v>
      </c>
      <c r="AZ29" s="156">
        <v>260</v>
      </c>
      <c r="BA29" s="166">
        <v>560</v>
      </c>
      <c r="BB29" s="167">
        <f t="shared" si="2"/>
        <v>18920</v>
      </c>
      <c r="BC29" s="168">
        <v>144</v>
      </c>
      <c r="BD29" s="167">
        <f t="shared" si="3"/>
        <v>144</v>
      </c>
      <c r="BE29" s="169"/>
      <c r="BF29" s="170">
        <v>1000</v>
      </c>
      <c r="BG29" s="171"/>
      <c r="BH29" s="171">
        <v>925</v>
      </c>
      <c r="BI29" s="172"/>
      <c r="BJ29" s="173">
        <f t="shared" si="4"/>
        <v>1925</v>
      </c>
      <c r="BK29" s="169">
        <v>2400</v>
      </c>
      <c r="BL29" s="171">
        <v>900</v>
      </c>
      <c r="BM29" s="171">
        <v>3200</v>
      </c>
      <c r="BN29" s="171"/>
      <c r="BO29" s="171"/>
      <c r="BP29" s="174"/>
      <c r="BQ29" s="172"/>
      <c r="BR29" s="175">
        <f t="shared" si="5"/>
        <v>6500</v>
      </c>
      <c r="BS29" s="164">
        <v>160</v>
      </c>
      <c r="BT29" s="165">
        <v>160</v>
      </c>
      <c r="BU29" s="165"/>
      <c r="BV29" s="165"/>
      <c r="BW29" s="165">
        <v>80</v>
      </c>
      <c r="BX29" s="165">
        <v>1360</v>
      </c>
      <c r="BY29" s="152">
        <v>880</v>
      </c>
      <c r="BZ29" s="152">
        <v>40</v>
      </c>
      <c r="CA29" s="152"/>
      <c r="CB29" s="152"/>
      <c r="CC29" s="165"/>
      <c r="CD29" s="152"/>
      <c r="CE29" s="165"/>
      <c r="CF29" s="152"/>
      <c r="CG29" s="152"/>
      <c r="CH29" s="152"/>
      <c r="CI29" s="152">
        <v>120</v>
      </c>
      <c r="CJ29" s="152"/>
      <c r="CK29" s="152">
        <v>1040</v>
      </c>
      <c r="CL29" s="166">
        <v>200</v>
      </c>
      <c r="CM29" s="176">
        <f t="shared" si="6"/>
        <v>4040</v>
      </c>
      <c r="CN29" s="177"/>
      <c r="CO29" s="152"/>
      <c r="CP29" s="152">
        <v>180</v>
      </c>
      <c r="CQ29" s="152"/>
      <c r="CR29" s="152"/>
      <c r="CS29" s="152"/>
      <c r="CT29" s="152"/>
      <c r="CU29" s="152"/>
      <c r="CV29" s="152"/>
      <c r="CW29" s="152"/>
      <c r="CX29" s="152"/>
      <c r="CY29" s="152"/>
      <c r="CZ29" s="166"/>
      <c r="DA29" s="175">
        <f t="shared" si="7"/>
        <v>180</v>
      </c>
      <c r="DB29" s="178">
        <f t="shared" si="8"/>
        <v>4040</v>
      </c>
      <c r="DC29" s="155">
        <f t="shared" si="9"/>
        <v>0</v>
      </c>
      <c r="DD29" s="155">
        <f t="shared" si="10"/>
        <v>8425</v>
      </c>
      <c r="DE29" s="155">
        <f t="shared" si="11"/>
        <v>97651</v>
      </c>
      <c r="DF29" s="155">
        <f t="shared" si="12"/>
        <v>0</v>
      </c>
      <c r="DG29" s="155">
        <f t="shared" si="13"/>
        <v>0</v>
      </c>
      <c r="DH29" s="155">
        <f t="shared" si="14"/>
        <v>180</v>
      </c>
      <c r="DI29" s="179">
        <v>0</v>
      </c>
      <c r="DJ29" s="179">
        <v>0</v>
      </c>
      <c r="DK29" s="155">
        <f t="shared" si="15"/>
        <v>203.2</v>
      </c>
      <c r="DL29" s="180">
        <v>0</v>
      </c>
      <c r="DM29" s="181">
        <f t="shared" si="16"/>
        <v>7.8083823231299421E-2</v>
      </c>
      <c r="DN29" s="182"/>
      <c r="DO29" s="183">
        <f t="shared" si="17"/>
        <v>101871</v>
      </c>
      <c r="DP29" s="184">
        <f t="shared" si="18"/>
        <v>8628.2000000000007</v>
      </c>
    </row>
    <row r="30" spans="1:120">
      <c r="A30" s="146"/>
      <c r="B30" s="318">
        <f t="shared" si="19"/>
        <v>43466</v>
      </c>
      <c r="C30" s="150">
        <v>39180</v>
      </c>
      <c r="D30" s="147">
        <v>2500</v>
      </c>
      <c r="E30" s="148">
        <v>15120</v>
      </c>
      <c r="F30" s="149"/>
      <c r="G30" s="148"/>
      <c r="H30" s="150"/>
      <c r="I30" s="147"/>
      <c r="J30" s="150"/>
      <c r="K30" s="150"/>
      <c r="L30" s="150">
        <v>300</v>
      </c>
      <c r="M30" s="147">
        <v>1110</v>
      </c>
      <c r="N30" s="151"/>
      <c r="O30" s="149">
        <v>11580</v>
      </c>
      <c r="P30" s="152">
        <v>9900</v>
      </c>
      <c r="Q30" s="152"/>
      <c r="R30" s="151"/>
      <c r="S30" s="152"/>
      <c r="T30" s="151">
        <v>280</v>
      </c>
      <c r="U30" s="153"/>
      <c r="V30" s="154"/>
      <c r="W30" s="155"/>
      <c r="X30" s="156"/>
      <c r="Y30" s="152">
        <v>1225</v>
      </c>
      <c r="Z30" s="152"/>
      <c r="AA30" s="153"/>
      <c r="AB30" s="154"/>
      <c r="AC30" s="153">
        <v>5040</v>
      </c>
      <c r="AD30" s="154"/>
      <c r="AE30" s="151">
        <v>2000</v>
      </c>
      <c r="AF30" s="151"/>
      <c r="AG30" s="155"/>
      <c r="AH30" s="153"/>
      <c r="AI30" s="154"/>
      <c r="AJ30" s="157"/>
      <c r="AK30" s="158"/>
      <c r="AL30" s="158"/>
      <c r="AM30" s="158">
        <v>120</v>
      </c>
      <c r="AN30" s="159"/>
      <c r="AO30" s="160">
        <f t="shared" si="20"/>
        <v>88235</v>
      </c>
      <c r="AP30" s="161"/>
      <c r="AQ30" s="161">
        <f t="shared" si="21"/>
        <v>120</v>
      </c>
      <c r="AR30" s="161">
        <f t="shared" si="22"/>
        <v>0</v>
      </c>
      <c r="AS30" s="162">
        <v>140770</v>
      </c>
      <c r="AT30" s="163">
        <f t="shared" si="1"/>
        <v>1.5932318487918058</v>
      </c>
      <c r="AU30" s="164">
        <v>1680</v>
      </c>
      <c r="AV30" s="165">
        <v>8670</v>
      </c>
      <c r="AW30" s="152"/>
      <c r="AX30" s="156">
        <v>6000</v>
      </c>
      <c r="AY30" s="156">
        <v>250</v>
      </c>
      <c r="AZ30" s="156">
        <v>200</v>
      </c>
      <c r="BA30" s="166">
        <v>400</v>
      </c>
      <c r="BB30" s="167">
        <f t="shared" si="2"/>
        <v>17200</v>
      </c>
      <c r="BC30" s="168">
        <v>24</v>
      </c>
      <c r="BD30" s="167">
        <f t="shared" si="3"/>
        <v>24</v>
      </c>
      <c r="BE30" s="169"/>
      <c r="BF30" s="170">
        <v>2000</v>
      </c>
      <c r="BG30" s="171">
        <v>500</v>
      </c>
      <c r="BH30" s="171">
        <v>1950</v>
      </c>
      <c r="BI30" s="172">
        <v>500</v>
      </c>
      <c r="BJ30" s="173">
        <f t="shared" si="4"/>
        <v>4950</v>
      </c>
      <c r="BK30" s="169">
        <v>2400</v>
      </c>
      <c r="BL30" s="171">
        <v>2920</v>
      </c>
      <c r="BM30" s="171">
        <v>3200</v>
      </c>
      <c r="BN30" s="171"/>
      <c r="BO30" s="171"/>
      <c r="BP30" s="174"/>
      <c r="BQ30" s="172"/>
      <c r="BR30" s="175">
        <f t="shared" si="5"/>
        <v>8520</v>
      </c>
      <c r="BS30" s="164">
        <v>100</v>
      </c>
      <c r="BT30" s="165">
        <v>40</v>
      </c>
      <c r="BU30" s="165"/>
      <c r="BV30" s="165"/>
      <c r="BW30" s="165">
        <v>100</v>
      </c>
      <c r="BX30" s="165">
        <v>980</v>
      </c>
      <c r="BY30" s="152">
        <v>680</v>
      </c>
      <c r="BZ30" s="152">
        <v>40</v>
      </c>
      <c r="CA30" s="152"/>
      <c r="CB30" s="152"/>
      <c r="CC30" s="165"/>
      <c r="CD30" s="152"/>
      <c r="CE30" s="165"/>
      <c r="CF30" s="152"/>
      <c r="CG30" s="152"/>
      <c r="CH30" s="152"/>
      <c r="CI30" s="152"/>
      <c r="CJ30" s="152"/>
      <c r="CK30" s="152">
        <v>840</v>
      </c>
      <c r="CL30" s="166">
        <v>160</v>
      </c>
      <c r="CM30" s="176">
        <f t="shared" si="6"/>
        <v>2940</v>
      </c>
      <c r="CN30" s="177">
        <v>5</v>
      </c>
      <c r="CO30" s="152"/>
      <c r="CP30" s="152">
        <v>150</v>
      </c>
      <c r="CQ30" s="152"/>
      <c r="CR30" s="152"/>
      <c r="CS30" s="152"/>
      <c r="CT30" s="152"/>
      <c r="CU30" s="152"/>
      <c r="CV30" s="152"/>
      <c r="CW30" s="152"/>
      <c r="CX30" s="152"/>
      <c r="CY30" s="152"/>
      <c r="CZ30" s="166"/>
      <c r="DA30" s="175">
        <f t="shared" si="7"/>
        <v>155</v>
      </c>
      <c r="DB30" s="186">
        <f t="shared" si="8"/>
        <v>2940</v>
      </c>
      <c r="DC30" s="187">
        <f t="shared" si="9"/>
        <v>0</v>
      </c>
      <c r="DD30" s="187">
        <f t="shared" si="10"/>
        <v>13470</v>
      </c>
      <c r="DE30" s="187">
        <f t="shared" si="11"/>
        <v>93395</v>
      </c>
      <c r="DF30" s="187">
        <f t="shared" si="12"/>
        <v>0</v>
      </c>
      <c r="DG30" s="187">
        <f t="shared" si="13"/>
        <v>0</v>
      </c>
      <c r="DH30" s="187">
        <f t="shared" si="14"/>
        <v>155</v>
      </c>
      <c r="DI30" s="188">
        <v>0</v>
      </c>
      <c r="DJ30" s="188">
        <v>0</v>
      </c>
      <c r="DK30" s="187">
        <f t="shared" si="15"/>
        <v>127.2</v>
      </c>
      <c r="DL30" s="189">
        <v>0</v>
      </c>
      <c r="DM30" s="190">
        <f t="shared" si="16"/>
        <v>0.12351299696967497</v>
      </c>
      <c r="DN30" s="182"/>
      <c r="DO30" s="183">
        <f t="shared" si="17"/>
        <v>96490</v>
      </c>
      <c r="DP30" s="184">
        <f t="shared" si="18"/>
        <v>13597.2</v>
      </c>
    </row>
    <row r="31" spans="1:120">
      <c r="A31" s="146"/>
      <c r="B31" s="318">
        <f t="shared" si="19"/>
        <v>43497</v>
      </c>
      <c r="C31" s="150">
        <v>42780</v>
      </c>
      <c r="D31" s="147">
        <v>4000</v>
      </c>
      <c r="E31" s="148">
        <v>20010</v>
      </c>
      <c r="F31" s="149"/>
      <c r="G31" s="148"/>
      <c r="H31" s="150"/>
      <c r="I31" s="147">
        <v>150</v>
      </c>
      <c r="J31" s="150"/>
      <c r="K31" s="150"/>
      <c r="L31" s="150">
        <v>825</v>
      </c>
      <c r="M31" s="147">
        <v>2850</v>
      </c>
      <c r="N31" s="151"/>
      <c r="O31" s="149">
        <v>17220</v>
      </c>
      <c r="P31" s="152">
        <v>7000</v>
      </c>
      <c r="Q31" s="152"/>
      <c r="R31" s="151">
        <v>20</v>
      </c>
      <c r="S31" s="152"/>
      <c r="T31" s="151">
        <v>100</v>
      </c>
      <c r="U31" s="153"/>
      <c r="V31" s="154"/>
      <c r="W31" s="155"/>
      <c r="X31" s="156"/>
      <c r="Y31" s="152">
        <v>950</v>
      </c>
      <c r="Z31" s="152">
        <v>150</v>
      </c>
      <c r="AA31" s="153"/>
      <c r="AB31" s="154"/>
      <c r="AC31" s="153">
        <v>6300</v>
      </c>
      <c r="AD31" s="154"/>
      <c r="AE31" s="151">
        <v>2000</v>
      </c>
      <c r="AF31" s="151"/>
      <c r="AG31" s="155"/>
      <c r="AH31" s="153">
        <v>20</v>
      </c>
      <c r="AI31" s="154"/>
      <c r="AJ31" s="157"/>
      <c r="AK31" s="158">
        <v>1000</v>
      </c>
      <c r="AL31" s="158"/>
      <c r="AM31" s="158">
        <v>280</v>
      </c>
      <c r="AN31" s="159"/>
      <c r="AO31" s="160">
        <f t="shared" si="20"/>
        <v>105375</v>
      </c>
      <c r="AP31" s="161"/>
      <c r="AQ31" s="161">
        <f t="shared" si="21"/>
        <v>280</v>
      </c>
      <c r="AR31" s="161">
        <f t="shared" si="22"/>
        <v>0</v>
      </c>
      <c r="AS31" s="162">
        <v>145450</v>
      </c>
      <c r="AT31" s="163">
        <f t="shared" si="1"/>
        <v>1.3766504188159576</v>
      </c>
      <c r="AU31" s="164">
        <v>2340</v>
      </c>
      <c r="AV31" s="165">
        <v>10380</v>
      </c>
      <c r="AW31" s="152">
        <v>600</v>
      </c>
      <c r="AX31" s="156">
        <v>3750</v>
      </c>
      <c r="AY31" s="156"/>
      <c r="AZ31" s="156"/>
      <c r="BA31" s="166">
        <v>200</v>
      </c>
      <c r="BB31" s="167">
        <f t="shared" si="2"/>
        <v>17270</v>
      </c>
      <c r="BC31" s="168">
        <v>216</v>
      </c>
      <c r="BD31" s="167">
        <f t="shared" si="3"/>
        <v>216</v>
      </c>
      <c r="BE31" s="169"/>
      <c r="BF31" s="170">
        <v>1000</v>
      </c>
      <c r="BG31" s="171">
        <v>500</v>
      </c>
      <c r="BH31" s="171">
        <v>2100</v>
      </c>
      <c r="BI31" s="172"/>
      <c r="BJ31" s="173">
        <f t="shared" si="4"/>
        <v>3600</v>
      </c>
      <c r="BK31" s="169">
        <v>2400</v>
      </c>
      <c r="BL31" s="171">
        <v>2940</v>
      </c>
      <c r="BM31" s="171">
        <v>2600</v>
      </c>
      <c r="BN31" s="171"/>
      <c r="BO31" s="171"/>
      <c r="BP31" s="174"/>
      <c r="BQ31" s="172"/>
      <c r="BR31" s="175">
        <f t="shared" si="5"/>
        <v>7940</v>
      </c>
      <c r="BS31" s="164">
        <v>120</v>
      </c>
      <c r="BT31" s="165">
        <v>20</v>
      </c>
      <c r="BU31" s="165"/>
      <c r="BV31" s="165">
        <v>20</v>
      </c>
      <c r="BW31" s="165">
        <v>100</v>
      </c>
      <c r="BX31" s="165">
        <v>1360</v>
      </c>
      <c r="BY31" s="152">
        <v>1000</v>
      </c>
      <c r="BZ31" s="152"/>
      <c r="CA31" s="152"/>
      <c r="CB31" s="152"/>
      <c r="CC31" s="165">
        <v>100</v>
      </c>
      <c r="CD31" s="152">
        <v>90</v>
      </c>
      <c r="CE31" s="165"/>
      <c r="CF31" s="152"/>
      <c r="CG31" s="152"/>
      <c r="CH31" s="152"/>
      <c r="CI31" s="152">
        <v>100</v>
      </c>
      <c r="CJ31" s="152"/>
      <c r="CK31" s="152">
        <v>1260</v>
      </c>
      <c r="CL31" s="166">
        <v>40</v>
      </c>
      <c r="CM31" s="176">
        <f t="shared" si="6"/>
        <v>4210</v>
      </c>
      <c r="CN31" s="177"/>
      <c r="CO31" s="152"/>
      <c r="CP31" s="152">
        <v>300</v>
      </c>
      <c r="CQ31" s="152"/>
      <c r="CR31" s="152"/>
      <c r="CS31" s="152"/>
      <c r="CT31" s="152"/>
      <c r="CU31" s="152"/>
      <c r="CV31" s="152"/>
      <c r="CW31" s="152"/>
      <c r="CX31" s="152"/>
      <c r="CY31" s="152"/>
      <c r="CZ31" s="166"/>
      <c r="DA31" s="175">
        <f t="shared" si="7"/>
        <v>300</v>
      </c>
      <c r="DB31" s="178">
        <f t="shared" si="8"/>
        <v>4210</v>
      </c>
      <c r="DC31" s="155">
        <f t="shared" si="9"/>
        <v>0</v>
      </c>
      <c r="DD31" s="155">
        <f t="shared" si="10"/>
        <v>11540</v>
      </c>
      <c r="DE31" s="155">
        <f t="shared" si="11"/>
        <v>110556</v>
      </c>
      <c r="DF31" s="155">
        <f t="shared" si="12"/>
        <v>0</v>
      </c>
      <c r="DG31" s="155">
        <f t="shared" si="13"/>
        <v>0</v>
      </c>
      <c r="DH31" s="155">
        <f t="shared" si="14"/>
        <v>300</v>
      </c>
      <c r="DI31" s="179">
        <v>0</v>
      </c>
      <c r="DJ31" s="179">
        <v>0</v>
      </c>
      <c r="DK31" s="155">
        <f t="shared" si="15"/>
        <v>344.8</v>
      </c>
      <c r="DL31" s="180">
        <v>0</v>
      </c>
      <c r="DM31" s="181">
        <f t="shared" si="16"/>
        <v>9.3617369878724668E-2</v>
      </c>
      <c r="DN31" s="180"/>
      <c r="DO31" s="183">
        <f t="shared" si="17"/>
        <v>115066</v>
      </c>
      <c r="DP31" s="184">
        <f t="shared" si="18"/>
        <v>11884.8</v>
      </c>
    </row>
    <row r="32" spans="1:120" ht="16.5" thickBot="1">
      <c r="A32" s="185"/>
      <c r="B32" s="319">
        <f t="shared" si="19"/>
        <v>43525</v>
      </c>
      <c r="C32" s="204">
        <v>41970</v>
      </c>
      <c r="D32" s="201">
        <v>1000</v>
      </c>
      <c r="E32" s="202">
        <v>21840</v>
      </c>
      <c r="F32" s="203"/>
      <c r="G32" s="202"/>
      <c r="H32" s="204"/>
      <c r="I32" s="201">
        <v>90</v>
      </c>
      <c r="J32" s="204"/>
      <c r="K32" s="204"/>
      <c r="L32" s="204">
        <v>600</v>
      </c>
      <c r="M32" s="201">
        <v>4200</v>
      </c>
      <c r="N32" s="205"/>
      <c r="O32" s="203">
        <v>16620</v>
      </c>
      <c r="P32" s="206">
        <v>3675</v>
      </c>
      <c r="Q32" s="206"/>
      <c r="R32" s="205"/>
      <c r="S32" s="206"/>
      <c r="T32" s="205">
        <v>300</v>
      </c>
      <c r="U32" s="207"/>
      <c r="V32" s="208"/>
      <c r="W32" s="209"/>
      <c r="X32" s="210"/>
      <c r="Y32" s="206">
        <v>450</v>
      </c>
      <c r="Z32" s="206">
        <v>60</v>
      </c>
      <c r="AA32" s="207"/>
      <c r="AB32" s="208"/>
      <c r="AC32" s="207">
        <v>7260</v>
      </c>
      <c r="AD32" s="208"/>
      <c r="AE32" s="205">
        <v>4000</v>
      </c>
      <c r="AF32" s="205"/>
      <c r="AG32" s="209"/>
      <c r="AH32" s="207"/>
      <c r="AI32" s="208"/>
      <c r="AJ32" s="211"/>
      <c r="AK32" s="212"/>
      <c r="AL32" s="212"/>
      <c r="AM32" s="212"/>
      <c r="AN32" s="213"/>
      <c r="AO32" s="214">
        <f t="shared" si="20"/>
        <v>102065</v>
      </c>
      <c r="AP32" s="215"/>
      <c r="AQ32" s="215">
        <f t="shared" si="21"/>
        <v>0</v>
      </c>
      <c r="AR32" s="215">
        <f t="shared" si="22"/>
        <v>0</v>
      </c>
      <c r="AS32" s="216">
        <v>172015</v>
      </c>
      <c r="AT32" s="217">
        <f t="shared" si="1"/>
        <v>1.6853475726252878</v>
      </c>
      <c r="AU32" s="218">
        <v>1620</v>
      </c>
      <c r="AV32" s="219">
        <v>9570</v>
      </c>
      <c r="AW32" s="206">
        <v>630</v>
      </c>
      <c r="AX32" s="210">
        <v>7800</v>
      </c>
      <c r="AY32" s="210">
        <v>1050</v>
      </c>
      <c r="AZ32" s="210">
        <v>100</v>
      </c>
      <c r="BA32" s="220">
        <v>700</v>
      </c>
      <c r="BB32" s="221">
        <f t="shared" si="2"/>
        <v>21470</v>
      </c>
      <c r="BC32" s="222"/>
      <c r="BD32" s="221">
        <f t="shared" si="3"/>
        <v>0</v>
      </c>
      <c r="BE32" s="223"/>
      <c r="BF32" s="224">
        <v>1500</v>
      </c>
      <c r="BG32" s="225">
        <v>1000</v>
      </c>
      <c r="BH32" s="225">
        <v>2100</v>
      </c>
      <c r="BI32" s="226"/>
      <c r="BJ32" s="227">
        <f t="shared" si="4"/>
        <v>4600</v>
      </c>
      <c r="BK32" s="223">
        <v>2400</v>
      </c>
      <c r="BL32" s="225">
        <v>2780</v>
      </c>
      <c r="BM32" s="225">
        <v>3000</v>
      </c>
      <c r="BN32" s="225"/>
      <c r="BO32" s="225"/>
      <c r="BP32" s="228"/>
      <c r="BQ32" s="226"/>
      <c r="BR32" s="229">
        <f t="shared" si="5"/>
        <v>8180</v>
      </c>
      <c r="BS32" s="218">
        <v>160</v>
      </c>
      <c r="BT32" s="219">
        <v>160</v>
      </c>
      <c r="BU32" s="219"/>
      <c r="BV32" s="219"/>
      <c r="BW32" s="219">
        <v>100</v>
      </c>
      <c r="BX32" s="219">
        <v>1280</v>
      </c>
      <c r="BY32" s="206">
        <v>940</v>
      </c>
      <c r="BZ32" s="206">
        <v>40</v>
      </c>
      <c r="CA32" s="206"/>
      <c r="CB32" s="206"/>
      <c r="CC32" s="219">
        <v>10</v>
      </c>
      <c r="CD32" s="206">
        <v>90</v>
      </c>
      <c r="CE32" s="219"/>
      <c r="CF32" s="206"/>
      <c r="CG32" s="206"/>
      <c r="CH32" s="206"/>
      <c r="CI32" s="206">
        <v>100</v>
      </c>
      <c r="CJ32" s="206"/>
      <c r="CK32" s="206">
        <v>1020</v>
      </c>
      <c r="CL32" s="220">
        <v>220</v>
      </c>
      <c r="CM32" s="230">
        <f t="shared" si="6"/>
        <v>4120</v>
      </c>
      <c r="CN32" s="231"/>
      <c r="CO32" s="206">
        <v>15</v>
      </c>
      <c r="CP32" s="206"/>
      <c r="CQ32" s="206"/>
      <c r="CR32" s="206">
        <v>50</v>
      </c>
      <c r="CS32" s="206">
        <v>70</v>
      </c>
      <c r="CT32" s="206">
        <v>100</v>
      </c>
      <c r="CU32" s="206"/>
      <c r="CV32" s="206">
        <v>5</v>
      </c>
      <c r="CW32" s="206"/>
      <c r="CX32" s="206"/>
      <c r="CY32" s="206"/>
      <c r="CZ32" s="220"/>
      <c r="DA32" s="229">
        <f t="shared" si="7"/>
        <v>240</v>
      </c>
      <c r="DB32" s="232">
        <f t="shared" si="8"/>
        <v>4120</v>
      </c>
      <c r="DC32" s="233">
        <f t="shared" si="9"/>
        <v>0</v>
      </c>
      <c r="DD32" s="233">
        <f t="shared" si="10"/>
        <v>12780</v>
      </c>
      <c r="DE32" s="233">
        <f t="shared" si="11"/>
        <v>108506</v>
      </c>
      <c r="DF32" s="233">
        <f t="shared" si="12"/>
        <v>0</v>
      </c>
      <c r="DG32" s="233">
        <f t="shared" si="13"/>
        <v>0</v>
      </c>
      <c r="DH32" s="233">
        <f t="shared" si="14"/>
        <v>240</v>
      </c>
      <c r="DI32" s="234">
        <v>0</v>
      </c>
      <c r="DJ32" s="234">
        <v>0</v>
      </c>
      <c r="DK32" s="233">
        <f t="shared" si="15"/>
        <v>0</v>
      </c>
      <c r="DL32" s="235">
        <v>0</v>
      </c>
      <c r="DM32" s="236">
        <f t="shared" si="16"/>
        <v>0.10171434028938446</v>
      </c>
      <c r="DN32" s="237"/>
      <c r="DO32" s="238">
        <f t="shared" si="17"/>
        <v>112866</v>
      </c>
      <c r="DP32" s="239">
        <f t="shared" si="18"/>
        <v>12780</v>
      </c>
    </row>
    <row r="33" spans="1:120">
      <c r="A33" s="191">
        <f>A21+1</f>
        <v>2019</v>
      </c>
      <c r="B33" s="317">
        <f t="shared" si="19"/>
        <v>43556</v>
      </c>
      <c r="C33" s="109">
        <v>37965</v>
      </c>
      <c r="D33" s="106">
        <v>4000</v>
      </c>
      <c r="E33" s="107">
        <v>21060</v>
      </c>
      <c r="F33" s="111"/>
      <c r="G33" s="107"/>
      <c r="H33" s="109"/>
      <c r="I33" s="106"/>
      <c r="J33" s="109"/>
      <c r="K33" s="109"/>
      <c r="L33" s="109">
        <v>875</v>
      </c>
      <c r="M33" s="106">
        <v>3165</v>
      </c>
      <c r="N33" s="110"/>
      <c r="O33" s="111">
        <v>19950</v>
      </c>
      <c r="P33" s="112">
        <v>8137.5</v>
      </c>
      <c r="Q33" s="112"/>
      <c r="R33" s="110"/>
      <c r="S33" s="112"/>
      <c r="T33" s="110">
        <v>180</v>
      </c>
      <c r="U33" s="113"/>
      <c r="V33" s="114"/>
      <c r="W33" s="115"/>
      <c r="X33" s="116"/>
      <c r="Y33" s="112">
        <v>825</v>
      </c>
      <c r="Z33" s="112"/>
      <c r="AA33" s="113"/>
      <c r="AB33" s="114"/>
      <c r="AC33" s="113">
        <v>5040</v>
      </c>
      <c r="AD33" s="114"/>
      <c r="AE33" s="110">
        <v>2000</v>
      </c>
      <c r="AF33" s="110"/>
      <c r="AG33" s="115"/>
      <c r="AH33" s="113"/>
      <c r="AI33" s="114"/>
      <c r="AJ33" s="117"/>
      <c r="AK33" s="118">
        <v>1000</v>
      </c>
      <c r="AL33" s="118"/>
      <c r="AM33" s="118"/>
      <c r="AN33" s="119"/>
      <c r="AO33" s="120">
        <f t="shared" si="20"/>
        <v>104197.5</v>
      </c>
      <c r="AP33" s="121"/>
      <c r="AQ33" s="121">
        <f t="shared" si="21"/>
        <v>0</v>
      </c>
      <c r="AR33" s="121">
        <f t="shared" si="22"/>
        <v>0</v>
      </c>
      <c r="AS33" s="122">
        <v>179797</v>
      </c>
      <c r="AT33" s="123">
        <f t="shared" si="1"/>
        <v>1.7255404400297512</v>
      </c>
      <c r="AU33" s="124">
        <v>2400</v>
      </c>
      <c r="AV33" s="125">
        <v>10530</v>
      </c>
      <c r="AW33" s="112">
        <v>330</v>
      </c>
      <c r="AX33" s="116">
        <v>4350</v>
      </c>
      <c r="AY33" s="116">
        <v>800</v>
      </c>
      <c r="AZ33" s="116">
        <v>100</v>
      </c>
      <c r="BA33" s="126">
        <v>1080</v>
      </c>
      <c r="BB33" s="127">
        <f t="shared" si="2"/>
        <v>19590</v>
      </c>
      <c r="BC33" s="128"/>
      <c r="BD33" s="127">
        <f t="shared" si="3"/>
        <v>0</v>
      </c>
      <c r="BE33" s="129"/>
      <c r="BF33" s="130">
        <v>500</v>
      </c>
      <c r="BG33" s="131"/>
      <c r="BH33" s="131">
        <v>1125</v>
      </c>
      <c r="BI33" s="132"/>
      <c r="BJ33" s="133">
        <f t="shared" si="4"/>
        <v>1625</v>
      </c>
      <c r="BK33" s="129">
        <v>1600</v>
      </c>
      <c r="BL33" s="131">
        <v>2180</v>
      </c>
      <c r="BM33" s="131">
        <v>2400</v>
      </c>
      <c r="BN33" s="131"/>
      <c r="BO33" s="131"/>
      <c r="BP33" s="134"/>
      <c r="BQ33" s="132"/>
      <c r="BR33" s="135">
        <f t="shared" si="5"/>
        <v>6180</v>
      </c>
      <c r="BS33" s="124">
        <v>60</v>
      </c>
      <c r="BT33" s="125">
        <v>560</v>
      </c>
      <c r="BU33" s="125"/>
      <c r="BV33" s="125">
        <v>20</v>
      </c>
      <c r="BW33" s="125"/>
      <c r="BX33" s="125">
        <v>1320</v>
      </c>
      <c r="BY33" s="112">
        <v>1280</v>
      </c>
      <c r="BZ33" s="112">
        <v>60</v>
      </c>
      <c r="CA33" s="112"/>
      <c r="CB33" s="112"/>
      <c r="CC33" s="125"/>
      <c r="CD33" s="112"/>
      <c r="CE33" s="125">
        <v>50</v>
      </c>
      <c r="CF33" s="112"/>
      <c r="CG33" s="112"/>
      <c r="CH33" s="112"/>
      <c r="CI33" s="112"/>
      <c r="CJ33" s="112"/>
      <c r="CK33" s="112">
        <v>1240</v>
      </c>
      <c r="CL33" s="126">
        <v>40</v>
      </c>
      <c r="CM33" s="136">
        <f t="shared" si="6"/>
        <v>4630</v>
      </c>
      <c r="CN33" s="137"/>
      <c r="CO33" s="112"/>
      <c r="CP33" s="112"/>
      <c r="CQ33" s="112"/>
      <c r="CR33" s="112">
        <v>10</v>
      </c>
      <c r="CS33" s="112">
        <v>60</v>
      </c>
      <c r="CT33" s="112">
        <v>220</v>
      </c>
      <c r="CU33" s="112">
        <v>10</v>
      </c>
      <c r="CV33" s="112">
        <v>10</v>
      </c>
      <c r="CW33" s="112"/>
      <c r="CX33" s="112"/>
      <c r="CY33" s="112"/>
      <c r="CZ33" s="126"/>
      <c r="DA33" s="135">
        <f t="shared" si="7"/>
        <v>310</v>
      </c>
      <c r="DB33" s="192">
        <f t="shared" si="8"/>
        <v>4630</v>
      </c>
      <c r="DC33" s="115">
        <f t="shared" si="9"/>
        <v>0</v>
      </c>
      <c r="DD33" s="115">
        <f t="shared" si="10"/>
        <v>7805</v>
      </c>
      <c r="DE33" s="115">
        <f t="shared" si="11"/>
        <v>110074.5</v>
      </c>
      <c r="DF33" s="115">
        <f t="shared" si="12"/>
        <v>0</v>
      </c>
      <c r="DG33" s="115">
        <f t="shared" si="13"/>
        <v>0</v>
      </c>
      <c r="DH33" s="115">
        <f t="shared" si="14"/>
        <v>310</v>
      </c>
      <c r="DI33" s="193">
        <v>0</v>
      </c>
      <c r="DJ33" s="193">
        <v>0</v>
      </c>
      <c r="DK33" s="115">
        <f t="shared" si="15"/>
        <v>0</v>
      </c>
      <c r="DL33" s="194">
        <v>0</v>
      </c>
      <c r="DM33" s="195">
        <f t="shared" si="16"/>
        <v>6.3548540744751442E-2</v>
      </c>
      <c r="DN33" s="143"/>
      <c r="DO33" s="144">
        <f t="shared" si="17"/>
        <v>115014.5</v>
      </c>
      <c r="DP33" s="145">
        <f t="shared" si="18"/>
        <v>7805</v>
      </c>
    </row>
    <row r="34" spans="1:120">
      <c r="A34" s="146"/>
      <c r="B34" s="318">
        <f t="shared" si="19"/>
        <v>43586</v>
      </c>
      <c r="C34" s="150">
        <v>39795</v>
      </c>
      <c r="D34" s="147">
        <v>4000</v>
      </c>
      <c r="E34" s="148">
        <v>20820</v>
      </c>
      <c r="F34" s="149"/>
      <c r="G34" s="148"/>
      <c r="H34" s="150"/>
      <c r="I34" s="147"/>
      <c r="J34" s="150"/>
      <c r="K34" s="150"/>
      <c r="L34" s="150">
        <v>775</v>
      </c>
      <c r="M34" s="147">
        <v>3840</v>
      </c>
      <c r="N34" s="151"/>
      <c r="O34" s="149">
        <v>13860</v>
      </c>
      <c r="P34" s="152">
        <v>3850</v>
      </c>
      <c r="Q34" s="152"/>
      <c r="R34" s="151"/>
      <c r="S34" s="152"/>
      <c r="T34" s="151">
        <v>260</v>
      </c>
      <c r="U34" s="153"/>
      <c r="V34" s="154"/>
      <c r="W34" s="155"/>
      <c r="X34" s="156"/>
      <c r="Y34" s="152">
        <v>750</v>
      </c>
      <c r="Z34" s="152">
        <v>180</v>
      </c>
      <c r="AA34" s="153"/>
      <c r="AB34" s="154"/>
      <c r="AC34" s="153">
        <v>3780</v>
      </c>
      <c r="AD34" s="154"/>
      <c r="AE34" s="151">
        <v>2000</v>
      </c>
      <c r="AF34" s="151"/>
      <c r="AG34" s="155"/>
      <c r="AH34" s="153"/>
      <c r="AI34" s="154"/>
      <c r="AJ34" s="157"/>
      <c r="AK34" s="158"/>
      <c r="AL34" s="158"/>
      <c r="AM34" s="158"/>
      <c r="AN34" s="159"/>
      <c r="AO34" s="160">
        <f t="shared" si="20"/>
        <v>93910</v>
      </c>
      <c r="AP34" s="161"/>
      <c r="AQ34" s="161">
        <f t="shared" si="21"/>
        <v>0</v>
      </c>
      <c r="AR34" s="161">
        <f t="shared" si="22"/>
        <v>0</v>
      </c>
      <c r="AS34" s="162">
        <v>159416</v>
      </c>
      <c r="AT34" s="163">
        <f t="shared" si="1"/>
        <v>1.6975401980619742</v>
      </c>
      <c r="AU34" s="164">
        <v>3600</v>
      </c>
      <c r="AV34" s="165">
        <v>10140</v>
      </c>
      <c r="AW34" s="152">
        <v>150</v>
      </c>
      <c r="AX34" s="156">
        <v>4000</v>
      </c>
      <c r="AY34" s="156">
        <v>250</v>
      </c>
      <c r="AZ34" s="156"/>
      <c r="BA34" s="166">
        <v>200</v>
      </c>
      <c r="BB34" s="167">
        <f t="shared" si="2"/>
        <v>18340</v>
      </c>
      <c r="BC34" s="168"/>
      <c r="BD34" s="167">
        <f t="shared" si="3"/>
        <v>0</v>
      </c>
      <c r="BE34" s="169"/>
      <c r="BF34" s="170">
        <v>1500</v>
      </c>
      <c r="BG34" s="171">
        <v>1000</v>
      </c>
      <c r="BH34" s="171">
        <v>2375</v>
      </c>
      <c r="BI34" s="172"/>
      <c r="BJ34" s="173">
        <f t="shared" si="4"/>
        <v>4875</v>
      </c>
      <c r="BK34" s="169">
        <v>1600</v>
      </c>
      <c r="BL34" s="171">
        <v>3200</v>
      </c>
      <c r="BM34" s="171">
        <v>4000</v>
      </c>
      <c r="BN34" s="171"/>
      <c r="BO34" s="171"/>
      <c r="BP34" s="174"/>
      <c r="BQ34" s="172"/>
      <c r="BR34" s="175">
        <f t="shared" si="5"/>
        <v>8800</v>
      </c>
      <c r="BS34" s="164">
        <v>40</v>
      </c>
      <c r="BT34" s="165">
        <v>720</v>
      </c>
      <c r="BU34" s="165"/>
      <c r="BV34" s="165"/>
      <c r="BW34" s="165">
        <v>40</v>
      </c>
      <c r="BX34" s="165">
        <v>1040</v>
      </c>
      <c r="BY34" s="152">
        <v>1280</v>
      </c>
      <c r="BZ34" s="152"/>
      <c r="CA34" s="152"/>
      <c r="CB34" s="152"/>
      <c r="CC34" s="165">
        <v>70</v>
      </c>
      <c r="CD34" s="152">
        <v>70</v>
      </c>
      <c r="CE34" s="165">
        <v>50</v>
      </c>
      <c r="CF34" s="152"/>
      <c r="CG34" s="152"/>
      <c r="CH34" s="152"/>
      <c r="CI34" s="152">
        <v>200</v>
      </c>
      <c r="CJ34" s="152"/>
      <c r="CK34" s="152">
        <v>760</v>
      </c>
      <c r="CL34" s="166">
        <v>120</v>
      </c>
      <c r="CM34" s="176">
        <f t="shared" si="6"/>
        <v>4390</v>
      </c>
      <c r="CN34" s="177"/>
      <c r="CO34" s="152"/>
      <c r="CP34" s="152">
        <v>50</v>
      </c>
      <c r="CQ34" s="152"/>
      <c r="CR34" s="152"/>
      <c r="CS34" s="152"/>
      <c r="CT34" s="152"/>
      <c r="CU34" s="152"/>
      <c r="CV34" s="152">
        <v>5</v>
      </c>
      <c r="CW34" s="152"/>
      <c r="CX34" s="152"/>
      <c r="CY34" s="152"/>
      <c r="CZ34" s="166"/>
      <c r="DA34" s="175">
        <f t="shared" si="7"/>
        <v>55</v>
      </c>
      <c r="DB34" s="186">
        <f t="shared" si="8"/>
        <v>4390</v>
      </c>
      <c r="DC34" s="187">
        <f t="shared" si="9"/>
        <v>0</v>
      </c>
      <c r="DD34" s="187">
        <f t="shared" si="10"/>
        <v>13675</v>
      </c>
      <c r="DE34" s="187">
        <f t="shared" si="11"/>
        <v>99412</v>
      </c>
      <c r="DF34" s="187">
        <f t="shared" si="12"/>
        <v>0</v>
      </c>
      <c r="DG34" s="187">
        <f t="shared" si="13"/>
        <v>0</v>
      </c>
      <c r="DH34" s="187">
        <f t="shared" si="14"/>
        <v>55</v>
      </c>
      <c r="DI34" s="188">
        <v>0</v>
      </c>
      <c r="DJ34" s="188">
        <v>0</v>
      </c>
      <c r="DK34" s="187">
        <f t="shared" si="15"/>
        <v>0</v>
      </c>
      <c r="DL34" s="189">
        <v>0</v>
      </c>
      <c r="DM34" s="190">
        <f t="shared" si="16"/>
        <v>0.11635129156314876</v>
      </c>
      <c r="DN34" s="182"/>
      <c r="DO34" s="183">
        <f t="shared" si="17"/>
        <v>103857</v>
      </c>
      <c r="DP34" s="184">
        <f t="shared" si="18"/>
        <v>13675</v>
      </c>
    </row>
    <row r="35" spans="1:120">
      <c r="A35" s="146"/>
      <c r="B35" s="318">
        <f t="shared" si="19"/>
        <v>43617</v>
      </c>
      <c r="C35" s="150">
        <v>56265</v>
      </c>
      <c r="D35" s="147">
        <v>2000</v>
      </c>
      <c r="E35" s="148">
        <v>21390</v>
      </c>
      <c r="F35" s="149"/>
      <c r="G35" s="148"/>
      <c r="H35" s="150"/>
      <c r="I35" s="147">
        <v>480</v>
      </c>
      <c r="J35" s="150"/>
      <c r="K35" s="150"/>
      <c r="L35" s="150">
        <v>1000</v>
      </c>
      <c r="M35" s="147">
        <v>2610</v>
      </c>
      <c r="N35" s="151"/>
      <c r="O35" s="149">
        <v>19440</v>
      </c>
      <c r="P35" s="152">
        <v>6212.5</v>
      </c>
      <c r="Q35" s="152"/>
      <c r="R35" s="151"/>
      <c r="S35" s="152"/>
      <c r="T35" s="151">
        <v>40</v>
      </c>
      <c r="U35" s="153"/>
      <c r="V35" s="154"/>
      <c r="W35" s="155">
        <v>40</v>
      </c>
      <c r="X35" s="156"/>
      <c r="Y35" s="152">
        <v>1225</v>
      </c>
      <c r="Z35" s="152"/>
      <c r="AA35" s="153"/>
      <c r="AB35" s="154"/>
      <c r="AC35" s="153">
        <v>6285</v>
      </c>
      <c r="AD35" s="154"/>
      <c r="AE35" s="151">
        <v>4000</v>
      </c>
      <c r="AF35" s="151"/>
      <c r="AG35" s="155"/>
      <c r="AH35" s="153"/>
      <c r="AI35" s="154">
        <v>500</v>
      </c>
      <c r="AJ35" s="157"/>
      <c r="AK35" s="158"/>
      <c r="AL35" s="158"/>
      <c r="AM35" s="158">
        <v>200</v>
      </c>
      <c r="AN35" s="159"/>
      <c r="AO35" s="160">
        <f t="shared" si="20"/>
        <v>121487.5</v>
      </c>
      <c r="AP35" s="161"/>
      <c r="AQ35" s="161">
        <f t="shared" si="21"/>
        <v>200</v>
      </c>
      <c r="AR35" s="161">
        <f t="shared" si="22"/>
        <v>0</v>
      </c>
      <c r="AS35" s="162">
        <v>179374</v>
      </c>
      <c r="AT35" s="163">
        <f t="shared" si="1"/>
        <v>1.4740544427324089</v>
      </c>
      <c r="AU35" s="164">
        <v>3360</v>
      </c>
      <c r="AV35" s="165">
        <v>9660</v>
      </c>
      <c r="AW35" s="152"/>
      <c r="AX35" s="156">
        <v>9000</v>
      </c>
      <c r="AY35" s="156">
        <v>1140</v>
      </c>
      <c r="AZ35" s="156">
        <v>180</v>
      </c>
      <c r="BA35" s="166">
        <v>660</v>
      </c>
      <c r="BB35" s="167">
        <f t="shared" si="2"/>
        <v>24000</v>
      </c>
      <c r="BC35" s="168">
        <v>120</v>
      </c>
      <c r="BD35" s="167">
        <f t="shared" si="3"/>
        <v>120</v>
      </c>
      <c r="BE35" s="169">
        <v>400</v>
      </c>
      <c r="BF35" s="170">
        <v>500</v>
      </c>
      <c r="BG35" s="171"/>
      <c r="BH35" s="171">
        <v>2150</v>
      </c>
      <c r="BI35" s="172"/>
      <c r="BJ35" s="173">
        <f t="shared" si="4"/>
        <v>3050</v>
      </c>
      <c r="BK35" s="169">
        <v>1600</v>
      </c>
      <c r="BL35" s="171">
        <v>2580</v>
      </c>
      <c r="BM35" s="171">
        <v>800</v>
      </c>
      <c r="BN35" s="171"/>
      <c r="BO35" s="171"/>
      <c r="BP35" s="174"/>
      <c r="BQ35" s="172">
        <v>600</v>
      </c>
      <c r="BR35" s="175">
        <f t="shared" si="5"/>
        <v>5580</v>
      </c>
      <c r="BS35" s="164"/>
      <c r="BT35" s="165">
        <v>800</v>
      </c>
      <c r="BU35" s="165"/>
      <c r="BV35" s="165"/>
      <c r="BW35" s="165">
        <v>100</v>
      </c>
      <c r="BX35" s="165">
        <v>1300</v>
      </c>
      <c r="BY35" s="152">
        <v>1140</v>
      </c>
      <c r="BZ35" s="152">
        <v>20</v>
      </c>
      <c r="CA35" s="152"/>
      <c r="CB35" s="152"/>
      <c r="CC35" s="165"/>
      <c r="CD35" s="152"/>
      <c r="CE35" s="165"/>
      <c r="CF35" s="152"/>
      <c r="CG35" s="152"/>
      <c r="CH35" s="152"/>
      <c r="CI35" s="152"/>
      <c r="CJ35" s="152"/>
      <c r="CK35" s="152">
        <v>1120</v>
      </c>
      <c r="CL35" s="166">
        <v>120</v>
      </c>
      <c r="CM35" s="176">
        <f t="shared" si="6"/>
        <v>4600</v>
      </c>
      <c r="CN35" s="177"/>
      <c r="CO35" s="152"/>
      <c r="CP35" s="152"/>
      <c r="CQ35" s="152"/>
      <c r="CR35" s="152">
        <v>100</v>
      </c>
      <c r="CS35" s="152"/>
      <c r="CT35" s="152">
        <v>100</v>
      </c>
      <c r="CU35" s="152"/>
      <c r="CV35" s="152"/>
      <c r="CW35" s="152"/>
      <c r="CX35" s="152"/>
      <c r="CY35" s="152"/>
      <c r="CZ35" s="166"/>
      <c r="DA35" s="175">
        <f t="shared" si="7"/>
        <v>200</v>
      </c>
      <c r="DB35" s="178">
        <f t="shared" si="8"/>
        <v>4600</v>
      </c>
      <c r="DC35" s="155">
        <f t="shared" si="9"/>
        <v>0</v>
      </c>
      <c r="DD35" s="155">
        <f t="shared" si="10"/>
        <v>8630</v>
      </c>
      <c r="DE35" s="155">
        <f t="shared" si="11"/>
        <v>128687.5</v>
      </c>
      <c r="DF35" s="155">
        <f t="shared" si="12"/>
        <v>0</v>
      </c>
      <c r="DG35" s="155">
        <f t="shared" si="13"/>
        <v>0</v>
      </c>
      <c r="DH35" s="155">
        <f t="shared" si="14"/>
        <v>200</v>
      </c>
      <c r="DI35" s="179">
        <v>0</v>
      </c>
      <c r="DJ35" s="179">
        <v>0</v>
      </c>
      <c r="DK35" s="155">
        <f t="shared" si="15"/>
        <v>236</v>
      </c>
      <c r="DL35" s="180">
        <v>0</v>
      </c>
      <c r="DM35" s="181">
        <f t="shared" si="16"/>
        <v>6.2281573688037176E-2</v>
      </c>
      <c r="DN35" s="182"/>
      <c r="DO35" s="183">
        <f t="shared" si="17"/>
        <v>133487.5</v>
      </c>
      <c r="DP35" s="184">
        <f t="shared" si="18"/>
        <v>8866</v>
      </c>
    </row>
    <row r="36" spans="1:120">
      <c r="A36" s="196"/>
      <c r="B36" s="326">
        <f t="shared" si="19"/>
        <v>43647</v>
      </c>
      <c r="C36" s="150">
        <v>52185</v>
      </c>
      <c r="D36" s="147">
        <v>2500</v>
      </c>
      <c r="E36" s="148">
        <v>19650</v>
      </c>
      <c r="F36" s="149"/>
      <c r="G36" s="148"/>
      <c r="H36" s="150"/>
      <c r="I36" s="147"/>
      <c r="J36" s="150"/>
      <c r="K36" s="150"/>
      <c r="L36" s="150">
        <v>725</v>
      </c>
      <c r="M36" s="147">
        <v>2010</v>
      </c>
      <c r="N36" s="151"/>
      <c r="O36" s="149">
        <v>14490</v>
      </c>
      <c r="P36" s="152">
        <v>7175</v>
      </c>
      <c r="Q36" s="152"/>
      <c r="R36" s="151"/>
      <c r="S36" s="152"/>
      <c r="T36" s="151">
        <v>200</v>
      </c>
      <c r="U36" s="153"/>
      <c r="V36" s="154"/>
      <c r="W36" s="155"/>
      <c r="X36" s="156"/>
      <c r="Y36" s="152">
        <v>500</v>
      </c>
      <c r="Z36" s="152"/>
      <c r="AA36" s="153"/>
      <c r="AB36" s="154"/>
      <c r="AC36" s="153">
        <v>5040</v>
      </c>
      <c r="AD36" s="154"/>
      <c r="AE36" s="151">
        <v>4000</v>
      </c>
      <c r="AF36" s="151"/>
      <c r="AG36" s="155"/>
      <c r="AH36" s="153"/>
      <c r="AI36" s="154"/>
      <c r="AJ36" s="157"/>
      <c r="AK36" s="158">
        <v>1000</v>
      </c>
      <c r="AL36" s="158"/>
      <c r="AM36" s="158"/>
      <c r="AN36" s="159"/>
      <c r="AO36" s="160">
        <f t="shared" si="20"/>
        <v>109475</v>
      </c>
      <c r="AP36" s="161"/>
      <c r="AQ36" s="161">
        <f t="shared" si="21"/>
        <v>0</v>
      </c>
      <c r="AR36" s="161">
        <f t="shared" si="22"/>
        <v>0</v>
      </c>
      <c r="AS36" s="162">
        <v>192083</v>
      </c>
      <c r="AT36" s="163">
        <f t="shared" si="1"/>
        <v>1.7545832381822335</v>
      </c>
      <c r="AU36" s="164">
        <v>2220</v>
      </c>
      <c r="AV36" s="165">
        <v>13710</v>
      </c>
      <c r="AW36" s="152"/>
      <c r="AX36" s="156">
        <v>4500</v>
      </c>
      <c r="AY36" s="156">
        <v>250</v>
      </c>
      <c r="AZ36" s="156"/>
      <c r="BA36" s="166">
        <v>200</v>
      </c>
      <c r="BB36" s="167">
        <f t="shared" si="2"/>
        <v>20880</v>
      </c>
      <c r="BC36" s="168"/>
      <c r="BD36" s="167">
        <f t="shared" si="3"/>
        <v>0</v>
      </c>
      <c r="BE36" s="169">
        <v>1275</v>
      </c>
      <c r="BF36" s="170">
        <v>500</v>
      </c>
      <c r="BG36" s="171"/>
      <c r="BH36" s="171">
        <v>1200</v>
      </c>
      <c r="BI36" s="172"/>
      <c r="BJ36" s="173">
        <f t="shared" si="4"/>
        <v>2975</v>
      </c>
      <c r="BK36" s="169">
        <v>1600</v>
      </c>
      <c r="BL36" s="171">
        <v>1760</v>
      </c>
      <c r="BM36" s="171">
        <v>2400</v>
      </c>
      <c r="BN36" s="171"/>
      <c r="BO36" s="171"/>
      <c r="BP36" s="174"/>
      <c r="BQ36" s="172">
        <v>1880</v>
      </c>
      <c r="BR36" s="175">
        <f t="shared" si="5"/>
        <v>7640</v>
      </c>
      <c r="BS36" s="164">
        <v>180</v>
      </c>
      <c r="BT36" s="165">
        <v>200</v>
      </c>
      <c r="BU36" s="165"/>
      <c r="BV36" s="165">
        <v>40</v>
      </c>
      <c r="BW36" s="165"/>
      <c r="BX36" s="165">
        <v>1200</v>
      </c>
      <c r="BY36" s="152">
        <v>1320</v>
      </c>
      <c r="BZ36" s="152">
        <v>20</v>
      </c>
      <c r="CA36" s="152"/>
      <c r="CB36" s="152"/>
      <c r="CC36" s="165"/>
      <c r="CD36" s="152">
        <v>80</v>
      </c>
      <c r="CE36" s="165"/>
      <c r="CF36" s="152"/>
      <c r="CG36" s="152"/>
      <c r="CH36" s="152"/>
      <c r="CI36" s="152">
        <v>100</v>
      </c>
      <c r="CJ36" s="152"/>
      <c r="CK36" s="152">
        <v>1060</v>
      </c>
      <c r="CL36" s="166">
        <v>260</v>
      </c>
      <c r="CM36" s="176">
        <f t="shared" si="6"/>
        <v>4460</v>
      </c>
      <c r="CN36" s="177"/>
      <c r="CO36" s="152"/>
      <c r="CP36" s="152"/>
      <c r="CQ36" s="152"/>
      <c r="CR36" s="152">
        <v>20</v>
      </c>
      <c r="CS36" s="152">
        <v>20</v>
      </c>
      <c r="CT36" s="152"/>
      <c r="CU36" s="152"/>
      <c r="CV36" s="152">
        <v>30</v>
      </c>
      <c r="CW36" s="152"/>
      <c r="CX36" s="152">
        <v>30</v>
      </c>
      <c r="CY36" s="152"/>
      <c r="CZ36" s="166"/>
      <c r="DA36" s="175">
        <f t="shared" si="7"/>
        <v>100</v>
      </c>
      <c r="DB36" s="186">
        <f t="shared" si="8"/>
        <v>4460</v>
      </c>
      <c r="DC36" s="187">
        <f t="shared" si="9"/>
        <v>0</v>
      </c>
      <c r="DD36" s="187">
        <f t="shared" si="10"/>
        <v>10615</v>
      </c>
      <c r="DE36" s="187">
        <f t="shared" si="11"/>
        <v>115739</v>
      </c>
      <c r="DF36" s="187">
        <f t="shared" si="12"/>
        <v>0</v>
      </c>
      <c r="DG36" s="187">
        <f t="shared" si="13"/>
        <v>0</v>
      </c>
      <c r="DH36" s="187">
        <f t="shared" si="14"/>
        <v>100</v>
      </c>
      <c r="DI36" s="188">
        <v>0</v>
      </c>
      <c r="DJ36" s="188">
        <v>0</v>
      </c>
      <c r="DK36" s="187">
        <f t="shared" si="15"/>
        <v>0</v>
      </c>
      <c r="DL36" s="189">
        <v>0</v>
      </c>
      <c r="DM36" s="190">
        <f t="shared" si="16"/>
        <v>8.1083764914371262E-2</v>
      </c>
      <c r="DN36" s="182"/>
      <c r="DO36" s="183">
        <f t="shared" si="17"/>
        <v>120299</v>
      </c>
      <c r="DP36" s="184">
        <f t="shared" si="18"/>
        <v>10615</v>
      </c>
    </row>
    <row r="37" spans="1:120">
      <c r="A37" s="146"/>
      <c r="B37" s="318">
        <f t="shared" si="19"/>
        <v>43678</v>
      </c>
      <c r="C37" s="150">
        <v>39975</v>
      </c>
      <c r="D37" s="147">
        <v>2000</v>
      </c>
      <c r="E37" s="148">
        <v>17280</v>
      </c>
      <c r="F37" s="149"/>
      <c r="G37" s="148"/>
      <c r="H37" s="150"/>
      <c r="I37" s="147">
        <v>150</v>
      </c>
      <c r="J37" s="150"/>
      <c r="K37" s="150"/>
      <c r="L37" s="150">
        <v>475</v>
      </c>
      <c r="M37" s="147">
        <v>2430</v>
      </c>
      <c r="N37" s="151"/>
      <c r="O37" s="149">
        <v>11265</v>
      </c>
      <c r="P37" s="152">
        <v>14287.5</v>
      </c>
      <c r="Q37" s="152"/>
      <c r="R37" s="151"/>
      <c r="S37" s="152"/>
      <c r="T37" s="151">
        <v>80</v>
      </c>
      <c r="U37" s="153"/>
      <c r="V37" s="154"/>
      <c r="W37" s="155">
        <v>40</v>
      </c>
      <c r="X37" s="156"/>
      <c r="Y37" s="152">
        <v>950</v>
      </c>
      <c r="Z37" s="152"/>
      <c r="AA37" s="153"/>
      <c r="AB37" s="154"/>
      <c r="AC37" s="153">
        <v>1260</v>
      </c>
      <c r="AD37" s="154"/>
      <c r="AE37" s="151"/>
      <c r="AF37" s="151"/>
      <c r="AG37" s="155"/>
      <c r="AH37" s="153"/>
      <c r="AI37" s="154"/>
      <c r="AJ37" s="157"/>
      <c r="AK37" s="158"/>
      <c r="AL37" s="158"/>
      <c r="AM37" s="158">
        <v>100</v>
      </c>
      <c r="AN37" s="159"/>
      <c r="AO37" s="160">
        <f t="shared" si="20"/>
        <v>90192.5</v>
      </c>
      <c r="AP37" s="161"/>
      <c r="AQ37" s="161">
        <f t="shared" si="21"/>
        <v>100</v>
      </c>
      <c r="AR37" s="161">
        <f t="shared" si="22"/>
        <v>0</v>
      </c>
      <c r="AS37" s="162">
        <v>161837</v>
      </c>
      <c r="AT37" s="163">
        <f t="shared" si="1"/>
        <v>1.7923637068416536</v>
      </c>
      <c r="AU37" s="164">
        <v>3000</v>
      </c>
      <c r="AV37" s="165">
        <v>10530</v>
      </c>
      <c r="AW37" s="152">
        <v>150</v>
      </c>
      <c r="AX37" s="156">
        <v>4800</v>
      </c>
      <c r="AY37" s="156">
        <v>250</v>
      </c>
      <c r="AZ37" s="156">
        <v>100</v>
      </c>
      <c r="BA37" s="166"/>
      <c r="BB37" s="167">
        <f t="shared" si="2"/>
        <v>18830</v>
      </c>
      <c r="BC37" s="168">
        <v>60</v>
      </c>
      <c r="BD37" s="167">
        <f t="shared" si="3"/>
        <v>60</v>
      </c>
      <c r="BE37" s="169">
        <v>1375</v>
      </c>
      <c r="BF37" s="170"/>
      <c r="BG37" s="171"/>
      <c r="BH37" s="171">
        <v>450</v>
      </c>
      <c r="BI37" s="172"/>
      <c r="BJ37" s="173">
        <f t="shared" si="4"/>
        <v>1825</v>
      </c>
      <c r="BK37" s="169"/>
      <c r="BL37" s="171">
        <v>1360</v>
      </c>
      <c r="BM37" s="171"/>
      <c r="BN37" s="171"/>
      <c r="BO37" s="171"/>
      <c r="BP37" s="174"/>
      <c r="BQ37" s="172">
        <v>2240</v>
      </c>
      <c r="BR37" s="175">
        <f t="shared" si="5"/>
        <v>3600</v>
      </c>
      <c r="BS37" s="164">
        <v>60</v>
      </c>
      <c r="BT37" s="165"/>
      <c r="BU37" s="165"/>
      <c r="BV37" s="165">
        <v>40</v>
      </c>
      <c r="BW37" s="165"/>
      <c r="BX37" s="165">
        <v>980</v>
      </c>
      <c r="BY37" s="152">
        <v>680</v>
      </c>
      <c r="BZ37" s="152"/>
      <c r="CA37" s="152"/>
      <c r="CB37" s="152"/>
      <c r="CC37" s="165"/>
      <c r="CD37" s="152"/>
      <c r="CE37" s="165"/>
      <c r="CF37" s="152"/>
      <c r="CG37" s="152"/>
      <c r="CH37" s="152"/>
      <c r="CI37" s="152">
        <v>120</v>
      </c>
      <c r="CJ37" s="152"/>
      <c r="CK37" s="152">
        <v>880</v>
      </c>
      <c r="CL37" s="166">
        <v>140</v>
      </c>
      <c r="CM37" s="176">
        <f t="shared" si="6"/>
        <v>2900</v>
      </c>
      <c r="CN37" s="177"/>
      <c r="CO37" s="152"/>
      <c r="CP37" s="152"/>
      <c r="CQ37" s="152"/>
      <c r="CR37" s="152"/>
      <c r="CS37" s="152"/>
      <c r="CT37" s="152"/>
      <c r="CU37" s="152"/>
      <c r="CV37" s="152"/>
      <c r="CW37" s="152"/>
      <c r="CX37" s="152">
        <v>10</v>
      </c>
      <c r="CY37" s="152"/>
      <c r="CZ37" s="166"/>
      <c r="DA37" s="175">
        <f t="shared" si="7"/>
        <v>10</v>
      </c>
      <c r="DB37" s="178">
        <f t="shared" si="8"/>
        <v>2900</v>
      </c>
      <c r="DC37" s="155">
        <f t="shared" si="9"/>
        <v>0</v>
      </c>
      <c r="DD37" s="155">
        <f t="shared" si="10"/>
        <v>5425</v>
      </c>
      <c r="DE37" s="155">
        <f t="shared" si="11"/>
        <v>95841.5</v>
      </c>
      <c r="DF37" s="155">
        <f t="shared" si="12"/>
        <v>0</v>
      </c>
      <c r="DG37" s="155">
        <f t="shared" si="13"/>
        <v>0</v>
      </c>
      <c r="DH37" s="155">
        <f t="shared" si="14"/>
        <v>10</v>
      </c>
      <c r="DI37" s="179">
        <v>0</v>
      </c>
      <c r="DJ37" s="179">
        <v>0</v>
      </c>
      <c r="DK37" s="155">
        <f t="shared" si="15"/>
        <v>118</v>
      </c>
      <c r="DL37" s="180">
        <v>0</v>
      </c>
      <c r="DM37" s="181">
        <f t="shared" si="16"/>
        <v>5.3147577293145849E-2</v>
      </c>
      <c r="DN37" s="182"/>
      <c r="DO37" s="183">
        <f t="shared" si="17"/>
        <v>98751.5</v>
      </c>
      <c r="DP37" s="184">
        <f t="shared" si="18"/>
        <v>5543</v>
      </c>
    </row>
    <row r="38" spans="1:120">
      <c r="A38" s="146"/>
      <c r="B38" s="318">
        <f t="shared" si="19"/>
        <v>43709</v>
      </c>
      <c r="C38" s="150">
        <v>37380</v>
      </c>
      <c r="D38" s="147">
        <v>2500</v>
      </c>
      <c r="E38" s="148">
        <v>16230</v>
      </c>
      <c r="F38" s="149"/>
      <c r="G38" s="148"/>
      <c r="H38" s="150"/>
      <c r="I38" s="147">
        <v>150</v>
      </c>
      <c r="J38" s="150"/>
      <c r="K38" s="150"/>
      <c r="L38" s="150">
        <v>1125</v>
      </c>
      <c r="M38" s="147">
        <v>2520</v>
      </c>
      <c r="N38" s="151"/>
      <c r="O38" s="149">
        <v>9930</v>
      </c>
      <c r="P38" s="152">
        <v>13900</v>
      </c>
      <c r="Q38" s="152"/>
      <c r="R38" s="151"/>
      <c r="S38" s="152"/>
      <c r="T38" s="151">
        <v>240</v>
      </c>
      <c r="U38" s="153"/>
      <c r="V38" s="154"/>
      <c r="W38" s="155">
        <v>200</v>
      </c>
      <c r="X38" s="156"/>
      <c r="Y38" s="152">
        <v>525</v>
      </c>
      <c r="Z38" s="152"/>
      <c r="AA38" s="153"/>
      <c r="AB38" s="154"/>
      <c r="AC38" s="153">
        <v>5040</v>
      </c>
      <c r="AD38" s="154">
        <v>500</v>
      </c>
      <c r="AE38" s="151">
        <v>4000</v>
      </c>
      <c r="AF38" s="151"/>
      <c r="AG38" s="155"/>
      <c r="AH38" s="153"/>
      <c r="AI38" s="154"/>
      <c r="AJ38" s="157"/>
      <c r="AK38" s="158">
        <v>1000</v>
      </c>
      <c r="AL38" s="158"/>
      <c r="AM38" s="158">
        <v>200</v>
      </c>
      <c r="AN38" s="159"/>
      <c r="AO38" s="160">
        <f t="shared" si="20"/>
        <v>95240</v>
      </c>
      <c r="AP38" s="161"/>
      <c r="AQ38" s="161">
        <f t="shared" si="21"/>
        <v>200</v>
      </c>
      <c r="AR38" s="161">
        <f t="shared" si="22"/>
        <v>0</v>
      </c>
      <c r="AS38" s="162">
        <v>174603</v>
      </c>
      <c r="AT38" s="163">
        <f t="shared" ref="AT38:AT69" si="23">AS38/(AO38+AP38+AQ38+AR38)</f>
        <v>1.8294530595138307</v>
      </c>
      <c r="AU38" s="164">
        <v>2040</v>
      </c>
      <c r="AV38" s="165">
        <v>9780</v>
      </c>
      <c r="AW38" s="152">
        <v>150</v>
      </c>
      <c r="AX38" s="156">
        <v>5500</v>
      </c>
      <c r="AY38" s="156">
        <v>800</v>
      </c>
      <c r="AZ38" s="156">
        <v>100</v>
      </c>
      <c r="BA38" s="166">
        <v>600</v>
      </c>
      <c r="BB38" s="167">
        <f t="shared" ref="BB38:BB69" si="24">SUM(AU38:BA38)</f>
        <v>18970</v>
      </c>
      <c r="BC38" s="168">
        <v>120</v>
      </c>
      <c r="BD38" s="167">
        <f t="shared" ref="BD38:BD69" si="25">BC38</f>
        <v>120</v>
      </c>
      <c r="BE38" s="169">
        <v>1500</v>
      </c>
      <c r="BF38" s="170">
        <v>1000</v>
      </c>
      <c r="BG38" s="171">
        <v>1000</v>
      </c>
      <c r="BH38" s="171">
        <v>1125</v>
      </c>
      <c r="BI38" s="172"/>
      <c r="BJ38" s="173">
        <f t="shared" ref="BJ38:BJ69" si="26">SUM(BE38:BI38)</f>
        <v>4625</v>
      </c>
      <c r="BK38" s="169">
        <v>2400</v>
      </c>
      <c r="BL38" s="171">
        <v>2460</v>
      </c>
      <c r="BM38" s="171">
        <v>1600</v>
      </c>
      <c r="BN38" s="171"/>
      <c r="BO38" s="171"/>
      <c r="BP38" s="174"/>
      <c r="BQ38" s="172">
        <v>2160</v>
      </c>
      <c r="BR38" s="175">
        <f t="shared" ref="BR38:BR69" si="27">SUM(BK38:BQ38)</f>
        <v>8620</v>
      </c>
      <c r="BS38" s="164">
        <v>40</v>
      </c>
      <c r="BT38" s="165">
        <v>60</v>
      </c>
      <c r="BU38" s="165"/>
      <c r="BV38" s="165">
        <v>20</v>
      </c>
      <c r="BW38" s="165">
        <v>100</v>
      </c>
      <c r="BX38" s="165">
        <v>980</v>
      </c>
      <c r="BY38" s="152">
        <v>1040</v>
      </c>
      <c r="BZ38" s="152">
        <v>80</v>
      </c>
      <c r="CA38" s="152"/>
      <c r="CB38" s="152"/>
      <c r="CC38" s="165">
        <v>50</v>
      </c>
      <c r="CD38" s="152">
        <v>50</v>
      </c>
      <c r="CE38" s="165"/>
      <c r="CF38" s="152"/>
      <c r="CG38" s="152"/>
      <c r="CH38" s="152"/>
      <c r="CI38" s="152"/>
      <c r="CJ38" s="152"/>
      <c r="CK38" s="152">
        <v>780</v>
      </c>
      <c r="CL38" s="166">
        <v>280</v>
      </c>
      <c r="CM38" s="176">
        <f t="shared" ref="CM38:CM69" si="28">SUM(BS38:CL38)</f>
        <v>3480</v>
      </c>
      <c r="CN38" s="177"/>
      <c r="CO38" s="152"/>
      <c r="CP38" s="152">
        <v>130</v>
      </c>
      <c r="CQ38" s="152"/>
      <c r="CR38" s="152"/>
      <c r="CS38" s="152"/>
      <c r="CT38" s="152"/>
      <c r="CU38" s="152"/>
      <c r="CV38" s="152"/>
      <c r="CW38" s="152"/>
      <c r="CX38" s="152"/>
      <c r="CY38" s="152"/>
      <c r="CZ38" s="166"/>
      <c r="DA38" s="175">
        <f t="shared" ref="DA38:DA69" si="29">SUM(CN38:CZ38)</f>
        <v>130</v>
      </c>
      <c r="DB38" s="186">
        <f t="shared" ref="DB38:DB69" si="30">CM38-CA38-CB38</f>
        <v>3480</v>
      </c>
      <c r="DC38" s="187">
        <f t="shared" ref="DC38:DC69" si="31">CA38+CB38</f>
        <v>0</v>
      </c>
      <c r="DD38" s="187">
        <f t="shared" ref="DD38:DD69" si="32">BJ38+BR38</f>
        <v>13245</v>
      </c>
      <c r="DE38" s="187">
        <f t="shared" ref="DE38:DE69" si="33">AO38+BB38*0.3</f>
        <v>100931</v>
      </c>
      <c r="DF38" s="187">
        <f t="shared" ref="DF38:DF69" si="34">AP38</f>
        <v>0</v>
      </c>
      <c r="DG38" s="187">
        <f t="shared" ref="DG38:DG69" si="35">AR38</f>
        <v>0</v>
      </c>
      <c r="DH38" s="187">
        <f t="shared" ref="DH38:DH69" si="36">DA38</f>
        <v>130</v>
      </c>
      <c r="DI38" s="188">
        <v>0</v>
      </c>
      <c r="DJ38" s="188">
        <v>0</v>
      </c>
      <c r="DK38" s="187">
        <f t="shared" ref="DK38:DK69" si="37">AQ38+0.3*BD38</f>
        <v>236</v>
      </c>
      <c r="DL38" s="189">
        <v>0</v>
      </c>
      <c r="DM38" s="190">
        <f t="shared" ref="DM38:DM69" si="38">DP38/(DO38+DP38)</f>
        <v>0.11422446662486654</v>
      </c>
      <c r="DN38" s="182"/>
      <c r="DO38" s="183">
        <f t="shared" ref="DO38:DO69" si="39">DB38+DE38+DH38</f>
        <v>104541</v>
      </c>
      <c r="DP38" s="184">
        <f t="shared" ref="DP38:DP69" si="40">DC38+DD38+DF38+DG38+DI38+DJ38+DK38+DL38</f>
        <v>13481</v>
      </c>
    </row>
    <row r="39" spans="1:120">
      <c r="A39" s="146"/>
      <c r="B39" s="318">
        <f t="shared" ref="B39:B70" si="41">DATE(YEAR(B38),MONTH(B38)+1,1)</f>
        <v>43739</v>
      </c>
      <c r="C39" s="150">
        <v>35964</v>
      </c>
      <c r="D39" s="147">
        <v>3500</v>
      </c>
      <c r="E39" s="148">
        <v>18120</v>
      </c>
      <c r="F39" s="149"/>
      <c r="G39" s="148"/>
      <c r="H39" s="150"/>
      <c r="I39" s="147"/>
      <c r="J39" s="150"/>
      <c r="K39" s="150"/>
      <c r="L39" s="150">
        <v>400</v>
      </c>
      <c r="M39" s="147">
        <v>2190</v>
      </c>
      <c r="N39" s="151"/>
      <c r="O39" s="149">
        <v>14460</v>
      </c>
      <c r="P39" s="152">
        <v>13225</v>
      </c>
      <c r="Q39" s="152"/>
      <c r="R39" s="151"/>
      <c r="S39" s="152"/>
      <c r="T39" s="151">
        <v>180</v>
      </c>
      <c r="U39" s="153"/>
      <c r="V39" s="154"/>
      <c r="W39" s="155"/>
      <c r="X39" s="156"/>
      <c r="Y39" s="152">
        <v>575</v>
      </c>
      <c r="Z39" s="152"/>
      <c r="AA39" s="153"/>
      <c r="AB39" s="154"/>
      <c r="AC39" s="153">
        <v>3780</v>
      </c>
      <c r="AD39" s="154">
        <v>1000</v>
      </c>
      <c r="AE39" s="151">
        <v>4000</v>
      </c>
      <c r="AF39" s="151"/>
      <c r="AG39" s="155"/>
      <c r="AH39" s="153"/>
      <c r="AI39" s="154"/>
      <c r="AJ39" s="157"/>
      <c r="AK39" s="158"/>
      <c r="AL39" s="158"/>
      <c r="AM39" s="158"/>
      <c r="AN39" s="159"/>
      <c r="AO39" s="160">
        <f t="shared" si="20"/>
        <v>97394</v>
      </c>
      <c r="AP39" s="161"/>
      <c r="AQ39" s="161">
        <f t="shared" si="21"/>
        <v>0</v>
      </c>
      <c r="AR39" s="161">
        <f t="shared" si="22"/>
        <v>0</v>
      </c>
      <c r="AS39" s="162">
        <v>186116</v>
      </c>
      <c r="AT39" s="163">
        <f t="shared" si="23"/>
        <v>1.9109596073680104</v>
      </c>
      <c r="AU39" s="164">
        <v>2880</v>
      </c>
      <c r="AV39" s="165">
        <v>11100</v>
      </c>
      <c r="AW39" s="152"/>
      <c r="AX39" s="156">
        <v>8500</v>
      </c>
      <c r="AY39" s="156">
        <v>450</v>
      </c>
      <c r="AZ39" s="156">
        <v>100</v>
      </c>
      <c r="BA39" s="166">
        <v>400</v>
      </c>
      <c r="BB39" s="167">
        <f t="shared" si="24"/>
        <v>23430</v>
      </c>
      <c r="BC39" s="168">
        <v>60</v>
      </c>
      <c r="BD39" s="167">
        <f t="shared" si="25"/>
        <v>60</v>
      </c>
      <c r="BE39" s="169">
        <v>675</v>
      </c>
      <c r="BF39" s="170">
        <v>1000</v>
      </c>
      <c r="BG39" s="171"/>
      <c r="BH39" s="171">
        <v>1575</v>
      </c>
      <c r="BI39" s="172"/>
      <c r="BJ39" s="173">
        <f t="shared" si="26"/>
        <v>3250</v>
      </c>
      <c r="BK39" s="169">
        <v>1600</v>
      </c>
      <c r="BL39" s="171">
        <v>2880</v>
      </c>
      <c r="BM39" s="171">
        <v>1600</v>
      </c>
      <c r="BN39" s="171"/>
      <c r="BO39" s="171"/>
      <c r="BP39" s="174"/>
      <c r="BQ39" s="172">
        <v>1000</v>
      </c>
      <c r="BR39" s="175">
        <f t="shared" si="27"/>
        <v>7080</v>
      </c>
      <c r="BS39" s="164">
        <v>180</v>
      </c>
      <c r="BT39" s="165">
        <v>120</v>
      </c>
      <c r="BU39" s="165"/>
      <c r="BV39" s="165"/>
      <c r="BW39" s="165">
        <v>180</v>
      </c>
      <c r="BX39" s="165">
        <v>1220</v>
      </c>
      <c r="BY39" s="152">
        <v>1100</v>
      </c>
      <c r="BZ39" s="152">
        <v>20</v>
      </c>
      <c r="CA39" s="152"/>
      <c r="CB39" s="152"/>
      <c r="CC39" s="165"/>
      <c r="CD39" s="152"/>
      <c r="CE39" s="165"/>
      <c r="CF39" s="152"/>
      <c r="CG39" s="152"/>
      <c r="CH39" s="152"/>
      <c r="CI39" s="152"/>
      <c r="CJ39" s="152"/>
      <c r="CK39" s="152">
        <v>940</v>
      </c>
      <c r="CL39" s="166">
        <v>120</v>
      </c>
      <c r="CM39" s="176">
        <f t="shared" si="28"/>
        <v>3880</v>
      </c>
      <c r="CN39" s="177"/>
      <c r="CO39" s="152"/>
      <c r="CP39" s="152">
        <v>350</v>
      </c>
      <c r="CQ39" s="152"/>
      <c r="CR39" s="152">
        <v>100</v>
      </c>
      <c r="CS39" s="152">
        <v>100</v>
      </c>
      <c r="CT39" s="152">
        <v>600</v>
      </c>
      <c r="CU39" s="152"/>
      <c r="CV39" s="152"/>
      <c r="CW39" s="152"/>
      <c r="CX39" s="152"/>
      <c r="CY39" s="152"/>
      <c r="CZ39" s="166"/>
      <c r="DA39" s="175">
        <f t="shared" si="29"/>
        <v>1150</v>
      </c>
      <c r="DB39" s="178">
        <f t="shared" si="30"/>
        <v>3880</v>
      </c>
      <c r="DC39" s="155">
        <f t="shared" si="31"/>
        <v>0</v>
      </c>
      <c r="DD39" s="155">
        <f t="shared" si="32"/>
        <v>10330</v>
      </c>
      <c r="DE39" s="155">
        <f t="shared" si="33"/>
        <v>104423</v>
      </c>
      <c r="DF39" s="155">
        <f t="shared" si="34"/>
        <v>0</v>
      </c>
      <c r="DG39" s="155">
        <f t="shared" si="35"/>
        <v>0</v>
      </c>
      <c r="DH39" s="155">
        <f t="shared" si="36"/>
        <v>1150</v>
      </c>
      <c r="DI39" s="179">
        <v>0</v>
      </c>
      <c r="DJ39" s="179">
        <v>0</v>
      </c>
      <c r="DK39" s="155">
        <f t="shared" si="37"/>
        <v>18</v>
      </c>
      <c r="DL39" s="180">
        <v>0</v>
      </c>
      <c r="DM39" s="181">
        <f t="shared" si="38"/>
        <v>8.637657448602265E-2</v>
      </c>
      <c r="DN39" s="182"/>
      <c r="DO39" s="183">
        <f t="shared" si="39"/>
        <v>109453</v>
      </c>
      <c r="DP39" s="184">
        <f t="shared" si="40"/>
        <v>10348</v>
      </c>
    </row>
    <row r="40" spans="1:120">
      <c r="A40" s="146"/>
      <c r="B40" s="318">
        <f t="shared" si="41"/>
        <v>43770</v>
      </c>
      <c r="C40" s="150">
        <v>33000</v>
      </c>
      <c r="D40" s="147">
        <v>2500</v>
      </c>
      <c r="E40" s="148">
        <v>16860</v>
      </c>
      <c r="F40" s="149"/>
      <c r="G40" s="148"/>
      <c r="H40" s="150"/>
      <c r="I40" s="147"/>
      <c r="J40" s="150"/>
      <c r="K40" s="150"/>
      <c r="L40" s="150">
        <v>1087.5</v>
      </c>
      <c r="M40" s="147">
        <v>2490</v>
      </c>
      <c r="N40" s="151"/>
      <c r="O40" s="149">
        <v>10920</v>
      </c>
      <c r="P40" s="152">
        <v>16525</v>
      </c>
      <c r="Q40" s="152"/>
      <c r="R40" s="151"/>
      <c r="S40" s="152"/>
      <c r="T40" s="151">
        <v>200</v>
      </c>
      <c r="U40" s="153"/>
      <c r="V40" s="154"/>
      <c r="W40" s="155"/>
      <c r="X40" s="156"/>
      <c r="Y40" s="152">
        <v>875</v>
      </c>
      <c r="Z40" s="152"/>
      <c r="AA40" s="153"/>
      <c r="AB40" s="154"/>
      <c r="AC40" s="153">
        <v>15300</v>
      </c>
      <c r="AD40" s="154">
        <v>500</v>
      </c>
      <c r="AE40" s="151">
        <v>2000</v>
      </c>
      <c r="AF40" s="151"/>
      <c r="AG40" s="155"/>
      <c r="AH40" s="153"/>
      <c r="AI40" s="154">
        <v>500</v>
      </c>
      <c r="AJ40" s="157"/>
      <c r="AK40" s="158"/>
      <c r="AL40" s="158"/>
      <c r="AM40" s="158">
        <v>80</v>
      </c>
      <c r="AN40" s="159"/>
      <c r="AO40" s="160">
        <f t="shared" si="20"/>
        <v>102757.5</v>
      </c>
      <c r="AP40" s="161"/>
      <c r="AQ40" s="161">
        <f t="shared" si="21"/>
        <v>80</v>
      </c>
      <c r="AR40" s="161">
        <f t="shared" si="22"/>
        <v>0</v>
      </c>
      <c r="AS40" s="162">
        <v>164524</v>
      </c>
      <c r="AT40" s="163">
        <f t="shared" si="23"/>
        <v>1.5998444147319801</v>
      </c>
      <c r="AU40" s="164">
        <v>2100</v>
      </c>
      <c r="AV40" s="165">
        <v>7530</v>
      </c>
      <c r="AW40" s="152"/>
      <c r="AX40" s="156">
        <v>7500</v>
      </c>
      <c r="AY40" s="156">
        <v>500</v>
      </c>
      <c r="AZ40" s="156">
        <v>200</v>
      </c>
      <c r="BA40" s="166">
        <v>600</v>
      </c>
      <c r="BB40" s="167">
        <f t="shared" si="24"/>
        <v>18430</v>
      </c>
      <c r="BC40" s="168">
        <v>120</v>
      </c>
      <c r="BD40" s="167">
        <f t="shared" si="25"/>
        <v>120</v>
      </c>
      <c r="BE40" s="169">
        <v>800</v>
      </c>
      <c r="BF40" s="170">
        <v>500</v>
      </c>
      <c r="BG40" s="171"/>
      <c r="BH40" s="171">
        <v>875</v>
      </c>
      <c r="BI40" s="172"/>
      <c r="BJ40" s="173">
        <f t="shared" si="26"/>
        <v>2175</v>
      </c>
      <c r="BK40" s="169">
        <v>1600</v>
      </c>
      <c r="BL40" s="171">
        <v>1420</v>
      </c>
      <c r="BM40" s="171">
        <v>800</v>
      </c>
      <c r="BN40" s="171"/>
      <c r="BO40" s="171"/>
      <c r="BP40" s="174"/>
      <c r="BQ40" s="172">
        <v>1140</v>
      </c>
      <c r="BR40" s="175">
        <f t="shared" si="27"/>
        <v>4960</v>
      </c>
      <c r="BS40" s="164">
        <v>80</v>
      </c>
      <c r="BT40" s="165">
        <v>60</v>
      </c>
      <c r="BU40" s="165"/>
      <c r="BV40" s="165">
        <v>60</v>
      </c>
      <c r="BW40" s="165"/>
      <c r="BX40" s="165">
        <v>1240</v>
      </c>
      <c r="BY40" s="152">
        <v>1140</v>
      </c>
      <c r="BZ40" s="152">
        <v>20</v>
      </c>
      <c r="CA40" s="152"/>
      <c r="CB40" s="152"/>
      <c r="CC40" s="165"/>
      <c r="CD40" s="152"/>
      <c r="CE40" s="165"/>
      <c r="CF40" s="152"/>
      <c r="CG40" s="152"/>
      <c r="CH40" s="152"/>
      <c r="CI40" s="152"/>
      <c r="CJ40" s="152"/>
      <c r="CK40" s="152">
        <v>1100</v>
      </c>
      <c r="CL40" s="166">
        <v>220</v>
      </c>
      <c r="CM40" s="176">
        <f t="shared" si="28"/>
        <v>3920</v>
      </c>
      <c r="CN40" s="177"/>
      <c r="CO40" s="152"/>
      <c r="CP40" s="152">
        <v>200</v>
      </c>
      <c r="CQ40" s="152"/>
      <c r="CR40" s="152"/>
      <c r="CS40" s="152"/>
      <c r="CT40" s="152"/>
      <c r="CU40" s="152"/>
      <c r="CV40" s="152"/>
      <c r="CW40" s="152"/>
      <c r="CX40" s="152"/>
      <c r="CY40" s="152"/>
      <c r="CZ40" s="166">
        <v>50</v>
      </c>
      <c r="DA40" s="175">
        <f t="shared" si="29"/>
        <v>250</v>
      </c>
      <c r="DB40" s="186">
        <f t="shared" si="30"/>
        <v>3920</v>
      </c>
      <c r="DC40" s="187">
        <f t="shared" si="31"/>
        <v>0</v>
      </c>
      <c r="DD40" s="187">
        <f t="shared" si="32"/>
        <v>7135</v>
      </c>
      <c r="DE40" s="187">
        <f t="shared" si="33"/>
        <v>108286.5</v>
      </c>
      <c r="DF40" s="187">
        <f t="shared" si="34"/>
        <v>0</v>
      </c>
      <c r="DG40" s="187">
        <f t="shared" si="35"/>
        <v>0</v>
      </c>
      <c r="DH40" s="187">
        <f t="shared" si="36"/>
        <v>250</v>
      </c>
      <c r="DI40" s="188">
        <v>0</v>
      </c>
      <c r="DJ40" s="188">
        <v>0</v>
      </c>
      <c r="DK40" s="187">
        <f t="shared" si="37"/>
        <v>116</v>
      </c>
      <c r="DL40" s="189">
        <v>0</v>
      </c>
      <c r="DM40" s="190">
        <f t="shared" si="38"/>
        <v>6.0572645824196476E-2</v>
      </c>
      <c r="DN40" s="182"/>
      <c r="DO40" s="183">
        <f t="shared" si="39"/>
        <v>112456.5</v>
      </c>
      <c r="DP40" s="184">
        <f t="shared" si="40"/>
        <v>7251</v>
      </c>
    </row>
    <row r="41" spans="1:120">
      <c r="A41" s="146"/>
      <c r="B41" s="318">
        <f t="shared" si="41"/>
        <v>43800</v>
      </c>
      <c r="C41" s="150">
        <v>38400</v>
      </c>
      <c r="D41" s="147">
        <v>2000</v>
      </c>
      <c r="E41" s="148">
        <v>18690</v>
      </c>
      <c r="F41" s="149"/>
      <c r="G41" s="148"/>
      <c r="H41" s="150"/>
      <c r="I41" s="147"/>
      <c r="J41" s="150"/>
      <c r="K41" s="150"/>
      <c r="L41" s="150">
        <v>550</v>
      </c>
      <c r="M41" s="147">
        <v>3330</v>
      </c>
      <c r="N41" s="151"/>
      <c r="O41" s="149">
        <v>10410</v>
      </c>
      <c r="P41" s="152">
        <v>8700</v>
      </c>
      <c r="Q41" s="152"/>
      <c r="R41" s="151"/>
      <c r="S41" s="152">
        <v>100</v>
      </c>
      <c r="T41" s="151">
        <v>160</v>
      </c>
      <c r="U41" s="153"/>
      <c r="V41" s="154"/>
      <c r="W41" s="155"/>
      <c r="X41" s="156"/>
      <c r="Y41" s="152">
        <v>700</v>
      </c>
      <c r="Z41" s="152"/>
      <c r="AA41" s="153"/>
      <c r="AB41" s="154"/>
      <c r="AC41" s="153">
        <v>3780</v>
      </c>
      <c r="AD41" s="154">
        <v>1000</v>
      </c>
      <c r="AE41" s="151">
        <v>2000</v>
      </c>
      <c r="AF41" s="151"/>
      <c r="AG41" s="155"/>
      <c r="AH41" s="153"/>
      <c r="AI41" s="154"/>
      <c r="AJ41" s="157"/>
      <c r="AK41" s="158">
        <v>1000</v>
      </c>
      <c r="AL41" s="158"/>
      <c r="AM41" s="158"/>
      <c r="AN41" s="159"/>
      <c r="AO41" s="160">
        <f t="shared" si="20"/>
        <v>90820</v>
      </c>
      <c r="AP41" s="161"/>
      <c r="AQ41" s="161">
        <f t="shared" si="21"/>
        <v>0</v>
      </c>
      <c r="AR41" s="161">
        <f t="shared" si="22"/>
        <v>0</v>
      </c>
      <c r="AS41" s="162">
        <v>140245</v>
      </c>
      <c r="AT41" s="163">
        <f t="shared" si="23"/>
        <v>1.5442083241576745</v>
      </c>
      <c r="AU41" s="164">
        <v>1560</v>
      </c>
      <c r="AV41" s="165">
        <v>8040</v>
      </c>
      <c r="AW41" s="152"/>
      <c r="AX41" s="156">
        <v>3000</v>
      </c>
      <c r="AY41" s="156">
        <v>950</v>
      </c>
      <c r="AZ41" s="156"/>
      <c r="BA41" s="166">
        <v>560</v>
      </c>
      <c r="BB41" s="167">
        <f t="shared" si="24"/>
        <v>14110</v>
      </c>
      <c r="BC41" s="168"/>
      <c r="BD41" s="167">
        <f t="shared" si="25"/>
        <v>0</v>
      </c>
      <c r="BE41" s="169">
        <v>950</v>
      </c>
      <c r="BF41" s="170">
        <v>1000</v>
      </c>
      <c r="BG41" s="171">
        <v>1000</v>
      </c>
      <c r="BH41" s="171">
        <v>950</v>
      </c>
      <c r="BI41" s="172"/>
      <c r="BJ41" s="173">
        <f t="shared" si="26"/>
        <v>3900</v>
      </c>
      <c r="BK41" s="169">
        <v>1600</v>
      </c>
      <c r="BL41" s="171">
        <v>2200</v>
      </c>
      <c r="BM41" s="171">
        <v>3200</v>
      </c>
      <c r="BN41" s="171"/>
      <c r="BO41" s="171"/>
      <c r="BP41" s="174"/>
      <c r="BQ41" s="172">
        <v>1180</v>
      </c>
      <c r="BR41" s="175">
        <f t="shared" si="27"/>
        <v>8180</v>
      </c>
      <c r="BS41" s="164">
        <v>80</v>
      </c>
      <c r="BT41" s="165"/>
      <c r="BU41" s="165"/>
      <c r="BV41" s="165"/>
      <c r="BW41" s="165">
        <v>120</v>
      </c>
      <c r="BX41" s="165">
        <v>1140</v>
      </c>
      <c r="BY41" s="152">
        <v>980</v>
      </c>
      <c r="BZ41" s="152">
        <v>20</v>
      </c>
      <c r="CA41" s="152"/>
      <c r="CB41" s="152"/>
      <c r="CC41" s="165"/>
      <c r="CD41" s="152"/>
      <c r="CE41" s="165"/>
      <c r="CF41" s="152"/>
      <c r="CG41" s="152"/>
      <c r="CH41" s="152"/>
      <c r="CI41" s="152">
        <v>120</v>
      </c>
      <c r="CJ41" s="152"/>
      <c r="CK41" s="152">
        <v>520</v>
      </c>
      <c r="CL41" s="166">
        <v>40</v>
      </c>
      <c r="CM41" s="176">
        <f t="shared" si="28"/>
        <v>3020</v>
      </c>
      <c r="CN41" s="177"/>
      <c r="CO41" s="152"/>
      <c r="CP41" s="152">
        <v>300</v>
      </c>
      <c r="CQ41" s="152"/>
      <c r="CR41" s="152"/>
      <c r="CS41" s="152"/>
      <c r="CT41" s="152"/>
      <c r="CU41" s="152"/>
      <c r="CV41" s="152"/>
      <c r="CW41" s="152"/>
      <c r="CX41" s="152">
        <v>50</v>
      </c>
      <c r="CY41" s="152"/>
      <c r="CZ41" s="166">
        <v>100</v>
      </c>
      <c r="DA41" s="175">
        <f t="shared" si="29"/>
        <v>450</v>
      </c>
      <c r="DB41" s="178">
        <f t="shared" si="30"/>
        <v>3020</v>
      </c>
      <c r="DC41" s="155">
        <f t="shared" si="31"/>
        <v>0</v>
      </c>
      <c r="DD41" s="155">
        <f t="shared" si="32"/>
        <v>12080</v>
      </c>
      <c r="DE41" s="155">
        <f t="shared" si="33"/>
        <v>95053</v>
      </c>
      <c r="DF41" s="155">
        <f t="shared" si="34"/>
        <v>0</v>
      </c>
      <c r="DG41" s="155">
        <f t="shared" si="35"/>
        <v>0</v>
      </c>
      <c r="DH41" s="155">
        <f t="shared" si="36"/>
        <v>450</v>
      </c>
      <c r="DI41" s="179">
        <v>0</v>
      </c>
      <c r="DJ41" s="179">
        <v>0</v>
      </c>
      <c r="DK41" s="155">
        <f t="shared" si="37"/>
        <v>0</v>
      </c>
      <c r="DL41" s="180">
        <v>0</v>
      </c>
      <c r="DM41" s="181">
        <f t="shared" si="38"/>
        <v>0.10921946059329313</v>
      </c>
      <c r="DN41" s="182"/>
      <c r="DO41" s="183">
        <f t="shared" si="39"/>
        <v>98523</v>
      </c>
      <c r="DP41" s="184">
        <f t="shared" si="40"/>
        <v>12080</v>
      </c>
    </row>
    <row r="42" spans="1:120">
      <c r="A42" s="146"/>
      <c r="B42" s="318">
        <f t="shared" si="41"/>
        <v>43831</v>
      </c>
      <c r="C42" s="150">
        <v>25365</v>
      </c>
      <c r="D42" s="147">
        <v>3500</v>
      </c>
      <c r="E42" s="148">
        <v>19680</v>
      </c>
      <c r="F42" s="149"/>
      <c r="G42" s="148"/>
      <c r="H42" s="150"/>
      <c r="I42" s="147"/>
      <c r="J42" s="150"/>
      <c r="K42" s="150"/>
      <c r="L42" s="150">
        <v>575</v>
      </c>
      <c r="M42" s="147">
        <v>2130</v>
      </c>
      <c r="N42" s="151"/>
      <c r="O42" s="149">
        <v>12480</v>
      </c>
      <c r="P42" s="152">
        <v>4675</v>
      </c>
      <c r="Q42" s="152"/>
      <c r="R42" s="151"/>
      <c r="S42" s="152"/>
      <c r="T42" s="151">
        <v>120</v>
      </c>
      <c r="U42" s="153"/>
      <c r="V42" s="154"/>
      <c r="W42" s="155"/>
      <c r="X42" s="156"/>
      <c r="Y42" s="152">
        <v>375</v>
      </c>
      <c r="Z42" s="152"/>
      <c r="AA42" s="153"/>
      <c r="AB42" s="154"/>
      <c r="AC42" s="153">
        <v>5040</v>
      </c>
      <c r="AD42" s="154"/>
      <c r="AE42" s="151">
        <v>4000</v>
      </c>
      <c r="AF42" s="151"/>
      <c r="AG42" s="155"/>
      <c r="AH42" s="153"/>
      <c r="AI42" s="154"/>
      <c r="AJ42" s="157"/>
      <c r="AK42" s="158"/>
      <c r="AL42" s="158"/>
      <c r="AM42" s="158">
        <v>200</v>
      </c>
      <c r="AN42" s="159"/>
      <c r="AO42" s="160">
        <f t="shared" si="20"/>
        <v>77940</v>
      </c>
      <c r="AP42" s="161"/>
      <c r="AQ42" s="161">
        <f t="shared" si="21"/>
        <v>200</v>
      </c>
      <c r="AR42" s="161">
        <f t="shared" si="22"/>
        <v>0</v>
      </c>
      <c r="AS42" s="162">
        <v>138897</v>
      </c>
      <c r="AT42" s="163">
        <f t="shared" si="23"/>
        <v>1.7775403122600462</v>
      </c>
      <c r="AU42" s="164">
        <v>1680</v>
      </c>
      <c r="AV42" s="165">
        <v>8460</v>
      </c>
      <c r="AW42" s="152"/>
      <c r="AX42" s="156">
        <v>7250</v>
      </c>
      <c r="AY42" s="156">
        <v>200</v>
      </c>
      <c r="AZ42" s="156"/>
      <c r="BA42" s="166"/>
      <c r="BB42" s="167">
        <f t="shared" si="24"/>
        <v>17590</v>
      </c>
      <c r="BC42" s="168">
        <v>120</v>
      </c>
      <c r="BD42" s="167">
        <f t="shared" si="25"/>
        <v>120</v>
      </c>
      <c r="BE42" s="169">
        <v>500</v>
      </c>
      <c r="BF42" s="170">
        <v>1500</v>
      </c>
      <c r="BG42" s="171">
        <v>500</v>
      </c>
      <c r="BH42" s="171">
        <v>1950</v>
      </c>
      <c r="BI42" s="172"/>
      <c r="BJ42" s="173">
        <f t="shared" si="26"/>
        <v>4450</v>
      </c>
      <c r="BK42" s="169">
        <v>3200</v>
      </c>
      <c r="BL42" s="171">
        <v>3500</v>
      </c>
      <c r="BM42" s="171">
        <v>2400</v>
      </c>
      <c r="BN42" s="171"/>
      <c r="BO42" s="171"/>
      <c r="BP42" s="174"/>
      <c r="BQ42" s="172">
        <v>640</v>
      </c>
      <c r="BR42" s="175">
        <f t="shared" si="27"/>
        <v>9740</v>
      </c>
      <c r="BS42" s="164">
        <v>40</v>
      </c>
      <c r="BT42" s="165">
        <v>220</v>
      </c>
      <c r="BU42" s="165"/>
      <c r="BV42" s="165">
        <v>40</v>
      </c>
      <c r="BW42" s="165">
        <v>160</v>
      </c>
      <c r="BX42" s="165">
        <v>980</v>
      </c>
      <c r="BY42" s="152">
        <v>1080</v>
      </c>
      <c r="BZ42" s="152">
        <v>40</v>
      </c>
      <c r="CA42" s="152"/>
      <c r="CB42" s="152"/>
      <c r="CC42" s="165"/>
      <c r="CD42" s="152"/>
      <c r="CE42" s="165"/>
      <c r="CF42" s="152"/>
      <c r="CG42" s="152"/>
      <c r="CH42" s="152"/>
      <c r="CI42" s="152"/>
      <c r="CJ42" s="152"/>
      <c r="CK42" s="152">
        <v>1840</v>
      </c>
      <c r="CL42" s="166">
        <v>200</v>
      </c>
      <c r="CM42" s="176">
        <f t="shared" si="28"/>
        <v>4600</v>
      </c>
      <c r="CN42" s="177"/>
      <c r="CO42" s="152"/>
      <c r="CP42" s="152">
        <v>100</v>
      </c>
      <c r="CQ42" s="152"/>
      <c r="CR42" s="152"/>
      <c r="CS42" s="152"/>
      <c r="CT42" s="152"/>
      <c r="CU42" s="152"/>
      <c r="CV42" s="152"/>
      <c r="CW42" s="152"/>
      <c r="CX42" s="152"/>
      <c r="CY42" s="152"/>
      <c r="CZ42" s="166"/>
      <c r="DA42" s="175">
        <f t="shared" si="29"/>
        <v>100</v>
      </c>
      <c r="DB42" s="186">
        <f t="shared" si="30"/>
        <v>4600</v>
      </c>
      <c r="DC42" s="187">
        <f t="shared" si="31"/>
        <v>0</v>
      </c>
      <c r="DD42" s="187">
        <f t="shared" si="32"/>
        <v>14190</v>
      </c>
      <c r="DE42" s="187">
        <f t="shared" si="33"/>
        <v>83217</v>
      </c>
      <c r="DF42" s="187">
        <f t="shared" si="34"/>
        <v>0</v>
      </c>
      <c r="DG42" s="187">
        <f t="shared" si="35"/>
        <v>0</v>
      </c>
      <c r="DH42" s="187">
        <f t="shared" si="36"/>
        <v>100</v>
      </c>
      <c r="DI42" s="188">
        <v>0</v>
      </c>
      <c r="DJ42" s="188">
        <v>0</v>
      </c>
      <c r="DK42" s="187">
        <f t="shared" si="37"/>
        <v>236</v>
      </c>
      <c r="DL42" s="189">
        <v>0</v>
      </c>
      <c r="DM42" s="190">
        <f t="shared" si="38"/>
        <v>0.14095736884789384</v>
      </c>
      <c r="DN42" s="182"/>
      <c r="DO42" s="183">
        <f t="shared" si="39"/>
        <v>87917</v>
      </c>
      <c r="DP42" s="184">
        <f t="shared" si="40"/>
        <v>14426</v>
      </c>
    </row>
    <row r="43" spans="1:120">
      <c r="A43" s="146"/>
      <c r="B43" s="318">
        <f t="shared" si="41"/>
        <v>43862</v>
      </c>
      <c r="C43" s="150">
        <v>37830</v>
      </c>
      <c r="D43" s="147">
        <v>1500</v>
      </c>
      <c r="E43" s="148">
        <v>16500</v>
      </c>
      <c r="F43" s="149"/>
      <c r="G43" s="148"/>
      <c r="H43" s="150"/>
      <c r="I43" s="147"/>
      <c r="J43" s="150"/>
      <c r="K43" s="150"/>
      <c r="L43" s="150">
        <v>925</v>
      </c>
      <c r="M43" s="147">
        <v>3390</v>
      </c>
      <c r="N43" s="151"/>
      <c r="O43" s="149">
        <v>15600</v>
      </c>
      <c r="P43" s="152">
        <v>9225</v>
      </c>
      <c r="Q43" s="152"/>
      <c r="R43" s="151"/>
      <c r="S43" s="152"/>
      <c r="T43" s="151">
        <v>100</v>
      </c>
      <c r="U43" s="153"/>
      <c r="V43" s="154"/>
      <c r="W43" s="155"/>
      <c r="X43" s="156"/>
      <c r="Y43" s="152">
        <v>950</v>
      </c>
      <c r="Z43" s="152"/>
      <c r="AA43" s="153"/>
      <c r="AB43" s="154"/>
      <c r="AC43" s="153">
        <v>3780</v>
      </c>
      <c r="AD43" s="154"/>
      <c r="AE43" s="151"/>
      <c r="AF43" s="151"/>
      <c r="AG43" s="155"/>
      <c r="AH43" s="153"/>
      <c r="AI43" s="154"/>
      <c r="AJ43" s="157"/>
      <c r="AK43" s="158"/>
      <c r="AL43" s="158"/>
      <c r="AM43" s="158"/>
      <c r="AN43" s="159"/>
      <c r="AO43" s="160">
        <f t="shared" si="20"/>
        <v>89800</v>
      </c>
      <c r="AP43" s="161"/>
      <c r="AQ43" s="161">
        <f t="shared" si="21"/>
        <v>0</v>
      </c>
      <c r="AR43" s="161">
        <f t="shared" si="22"/>
        <v>0</v>
      </c>
      <c r="AS43" s="162">
        <v>136556</v>
      </c>
      <c r="AT43" s="163">
        <f t="shared" si="23"/>
        <v>1.5206681514476614</v>
      </c>
      <c r="AU43" s="164">
        <v>3540</v>
      </c>
      <c r="AV43" s="165">
        <v>9000</v>
      </c>
      <c r="AW43" s="152"/>
      <c r="AX43" s="156">
        <v>5500</v>
      </c>
      <c r="AY43" s="156">
        <v>250</v>
      </c>
      <c r="AZ43" s="156">
        <v>100</v>
      </c>
      <c r="BA43" s="166">
        <v>200</v>
      </c>
      <c r="BB43" s="167">
        <f t="shared" si="24"/>
        <v>18590</v>
      </c>
      <c r="BC43" s="168"/>
      <c r="BD43" s="167">
        <f t="shared" si="25"/>
        <v>0</v>
      </c>
      <c r="BE43" s="169">
        <v>250</v>
      </c>
      <c r="BF43" s="170">
        <v>1000</v>
      </c>
      <c r="BG43" s="171">
        <v>500</v>
      </c>
      <c r="BH43" s="171">
        <v>1750</v>
      </c>
      <c r="BI43" s="172"/>
      <c r="BJ43" s="173">
        <f t="shared" si="26"/>
        <v>3500</v>
      </c>
      <c r="BK43" s="169"/>
      <c r="BL43" s="171">
        <v>3720</v>
      </c>
      <c r="BM43" s="171">
        <v>1600</v>
      </c>
      <c r="BN43" s="171"/>
      <c r="BO43" s="171"/>
      <c r="BP43" s="174">
        <v>1600</v>
      </c>
      <c r="BQ43" s="172">
        <v>120</v>
      </c>
      <c r="BR43" s="175">
        <f t="shared" si="27"/>
        <v>7040</v>
      </c>
      <c r="BS43" s="164">
        <v>120</v>
      </c>
      <c r="BT43" s="165">
        <v>160</v>
      </c>
      <c r="BU43" s="165"/>
      <c r="BV43" s="165"/>
      <c r="BW43" s="165">
        <v>60</v>
      </c>
      <c r="BX43" s="165">
        <v>1080</v>
      </c>
      <c r="BY43" s="152">
        <v>1240</v>
      </c>
      <c r="BZ43" s="152"/>
      <c r="CA43" s="152"/>
      <c r="CB43" s="152"/>
      <c r="CC43" s="165"/>
      <c r="CD43" s="152">
        <v>30</v>
      </c>
      <c r="CE43" s="165"/>
      <c r="CF43" s="152"/>
      <c r="CG43" s="152"/>
      <c r="CH43" s="152"/>
      <c r="CI43" s="152">
        <v>100</v>
      </c>
      <c r="CJ43" s="152"/>
      <c r="CK43" s="152">
        <v>740</v>
      </c>
      <c r="CL43" s="166">
        <v>260</v>
      </c>
      <c r="CM43" s="176">
        <f t="shared" si="28"/>
        <v>3790</v>
      </c>
      <c r="CN43" s="177"/>
      <c r="CO43" s="152"/>
      <c r="CP43" s="152">
        <v>150</v>
      </c>
      <c r="CQ43" s="152"/>
      <c r="CR43" s="152"/>
      <c r="CS43" s="152"/>
      <c r="CT43" s="152"/>
      <c r="CU43" s="152"/>
      <c r="CV43" s="152"/>
      <c r="CW43" s="152"/>
      <c r="CX43" s="152"/>
      <c r="CY43" s="152"/>
      <c r="CZ43" s="166"/>
      <c r="DA43" s="175">
        <f t="shared" si="29"/>
        <v>150</v>
      </c>
      <c r="DB43" s="178">
        <f t="shared" si="30"/>
        <v>3790</v>
      </c>
      <c r="DC43" s="155">
        <f t="shared" si="31"/>
        <v>0</v>
      </c>
      <c r="DD43" s="155">
        <f t="shared" si="32"/>
        <v>10540</v>
      </c>
      <c r="DE43" s="155">
        <f t="shared" si="33"/>
        <v>95377</v>
      </c>
      <c r="DF43" s="155">
        <f t="shared" si="34"/>
        <v>0</v>
      </c>
      <c r="DG43" s="155">
        <f t="shared" si="35"/>
        <v>0</v>
      </c>
      <c r="DH43" s="155">
        <f t="shared" si="36"/>
        <v>150</v>
      </c>
      <c r="DI43" s="179">
        <v>0</v>
      </c>
      <c r="DJ43" s="179">
        <v>0</v>
      </c>
      <c r="DK43" s="155">
        <f t="shared" si="37"/>
        <v>0</v>
      </c>
      <c r="DL43" s="180">
        <v>0</v>
      </c>
      <c r="DM43" s="181">
        <f t="shared" si="38"/>
        <v>9.594290759805929E-2</v>
      </c>
      <c r="DN43" s="180"/>
      <c r="DO43" s="183">
        <f t="shared" si="39"/>
        <v>99317</v>
      </c>
      <c r="DP43" s="184">
        <f t="shared" si="40"/>
        <v>10540</v>
      </c>
    </row>
    <row r="44" spans="1:120" ht="16.5" thickBot="1">
      <c r="A44" s="185"/>
      <c r="B44" s="319">
        <f t="shared" si="41"/>
        <v>43891</v>
      </c>
      <c r="C44" s="204">
        <v>34815</v>
      </c>
      <c r="D44" s="201">
        <v>2000</v>
      </c>
      <c r="E44" s="202">
        <v>18450</v>
      </c>
      <c r="F44" s="203"/>
      <c r="G44" s="202"/>
      <c r="H44" s="204"/>
      <c r="I44" s="201"/>
      <c r="J44" s="204"/>
      <c r="K44" s="204"/>
      <c r="L44" s="204">
        <v>550</v>
      </c>
      <c r="M44" s="201">
        <v>3600</v>
      </c>
      <c r="N44" s="205"/>
      <c r="O44" s="203">
        <v>14265</v>
      </c>
      <c r="P44" s="206">
        <v>5900</v>
      </c>
      <c r="Q44" s="206"/>
      <c r="R44" s="205"/>
      <c r="S44" s="206"/>
      <c r="T44" s="205">
        <v>400</v>
      </c>
      <c r="U44" s="207"/>
      <c r="V44" s="208"/>
      <c r="W44" s="209">
        <v>220</v>
      </c>
      <c r="X44" s="210"/>
      <c r="Y44" s="206">
        <v>350</v>
      </c>
      <c r="Z44" s="206"/>
      <c r="AA44" s="207"/>
      <c r="AB44" s="208"/>
      <c r="AC44" s="207">
        <v>5040</v>
      </c>
      <c r="AD44" s="208"/>
      <c r="AE44" s="205">
        <v>2000</v>
      </c>
      <c r="AF44" s="205"/>
      <c r="AG44" s="209"/>
      <c r="AH44" s="207"/>
      <c r="AI44" s="208"/>
      <c r="AJ44" s="211"/>
      <c r="AK44" s="212">
        <v>250</v>
      </c>
      <c r="AL44" s="212"/>
      <c r="AM44" s="212"/>
      <c r="AN44" s="213"/>
      <c r="AO44" s="214">
        <f t="shared" si="20"/>
        <v>87840</v>
      </c>
      <c r="AP44" s="215"/>
      <c r="AQ44" s="215">
        <f t="shared" si="21"/>
        <v>0</v>
      </c>
      <c r="AR44" s="215">
        <f t="shared" si="22"/>
        <v>0</v>
      </c>
      <c r="AS44" s="216">
        <v>137944</v>
      </c>
      <c r="AT44" s="217">
        <f t="shared" si="23"/>
        <v>1.5704007285974499</v>
      </c>
      <c r="AU44" s="218">
        <v>2160</v>
      </c>
      <c r="AV44" s="219">
        <v>9840</v>
      </c>
      <c r="AW44" s="206">
        <v>200</v>
      </c>
      <c r="AX44" s="210">
        <v>7000</v>
      </c>
      <c r="AY44" s="210">
        <v>250</v>
      </c>
      <c r="AZ44" s="210"/>
      <c r="BA44" s="220">
        <v>750</v>
      </c>
      <c r="BB44" s="221">
        <f t="shared" si="24"/>
        <v>20200</v>
      </c>
      <c r="BC44" s="222"/>
      <c r="BD44" s="221">
        <f t="shared" si="25"/>
        <v>0</v>
      </c>
      <c r="BE44" s="223"/>
      <c r="BF44" s="224">
        <v>1000</v>
      </c>
      <c r="BG44" s="225"/>
      <c r="BH44" s="225">
        <v>1825</v>
      </c>
      <c r="BI44" s="226"/>
      <c r="BJ44" s="227">
        <f t="shared" si="26"/>
        <v>2825</v>
      </c>
      <c r="BK44" s="223"/>
      <c r="BL44" s="225">
        <v>3800</v>
      </c>
      <c r="BM44" s="225">
        <v>800</v>
      </c>
      <c r="BN44" s="225"/>
      <c r="BO44" s="225"/>
      <c r="BP44" s="228">
        <v>800</v>
      </c>
      <c r="BQ44" s="226"/>
      <c r="BR44" s="229">
        <f t="shared" si="27"/>
        <v>5400</v>
      </c>
      <c r="BS44" s="218">
        <v>60</v>
      </c>
      <c r="BT44" s="219"/>
      <c r="BU44" s="219"/>
      <c r="BV44" s="219"/>
      <c r="BW44" s="219">
        <v>40</v>
      </c>
      <c r="BX44" s="219">
        <v>1040</v>
      </c>
      <c r="BY44" s="206">
        <v>1060</v>
      </c>
      <c r="BZ44" s="206">
        <v>20</v>
      </c>
      <c r="CA44" s="206"/>
      <c r="CB44" s="206"/>
      <c r="CC44" s="219"/>
      <c r="CD44" s="206"/>
      <c r="CE44" s="219"/>
      <c r="CF44" s="206"/>
      <c r="CG44" s="206"/>
      <c r="CH44" s="206"/>
      <c r="CI44" s="206">
        <v>100</v>
      </c>
      <c r="CJ44" s="206"/>
      <c r="CK44" s="206">
        <v>840</v>
      </c>
      <c r="CL44" s="220">
        <v>200</v>
      </c>
      <c r="CM44" s="230">
        <f t="shared" si="28"/>
        <v>3360</v>
      </c>
      <c r="CN44" s="231"/>
      <c r="CO44" s="206"/>
      <c r="CP44" s="206">
        <v>100</v>
      </c>
      <c r="CQ44" s="206"/>
      <c r="CR44" s="206"/>
      <c r="CS44" s="206"/>
      <c r="CT44" s="206"/>
      <c r="CU44" s="206"/>
      <c r="CV44" s="206"/>
      <c r="CW44" s="206"/>
      <c r="CX44" s="206"/>
      <c r="CY44" s="206"/>
      <c r="CZ44" s="220"/>
      <c r="DA44" s="229">
        <f t="shared" si="29"/>
        <v>100</v>
      </c>
      <c r="DB44" s="232">
        <f t="shared" si="30"/>
        <v>3360</v>
      </c>
      <c r="DC44" s="233">
        <f t="shared" si="31"/>
        <v>0</v>
      </c>
      <c r="DD44" s="233">
        <f t="shared" si="32"/>
        <v>8225</v>
      </c>
      <c r="DE44" s="233">
        <f t="shared" si="33"/>
        <v>93900</v>
      </c>
      <c r="DF44" s="233">
        <f t="shared" si="34"/>
        <v>0</v>
      </c>
      <c r="DG44" s="233">
        <f t="shared" si="35"/>
        <v>0</v>
      </c>
      <c r="DH44" s="233">
        <f t="shared" si="36"/>
        <v>100</v>
      </c>
      <c r="DI44" s="234">
        <v>0</v>
      </c>
      <c r="DJ44" s="234">
        <v>0</v>
      </c>
      <c r="DK44" s="233">
        <f t="shared" si="37"/>
        <v>0</v>
      </c>
      <c r="DL44" s="235">
        <v>0</v>
      </c>
      <c r="DM44" s="236">
        <f t="shared" si="38"/>
        <v>7.7899322820476388E-2</v>
      </c>
      <c r="DN44" s="237"/>
      <c r="DO44" s="238">
        <f t="shared" si="39"/>
        <v>97360</v>
      </c>
      <c r="DP44" s="239">
        <f t="shared" si="40"/>
        <v>8225</v>
      </c>
    </row>
    <row r="45" spans="1:120">
      <c r="A45" s="191">
        <f>A33+1</f>
        <v>2020</v>
      </c>
      <c r="B45" s="317">
        <f t="shared" si="41"/>
        <v>43922</v>
      </c>
      <c r="C45" s="109">
        <v>32790</v>
      </c>
      <c r="D45" s="106">
        <v>3000</v>
      </c>
      <c r="E45" s="107">
        <v>19500</v>
      </c>
      <c r="F45" s="111"/>
      <c r="G45" s="107"/>
      <c r="H45" s="109"/>
      <c r="I45" s="106">
        <v>225</v>
      </c>
      <c r="J45" s="109"/>
      <c r="K45" s="109"/>
      <c r="L45" s="109">
        <v>675</v>
      </c>
      <c r="M45" s="106">
        <v>3120</v>
      </c>
      <c r="N45" s="110"/>
      <c r="O45" s="111">
        <v>16290</v>
      </c>
      <c r="P45" s="112">
        <v>5850</v>
      </c>
      <c r="Q45" s="112"/>
      <c r="R45" s="110"/>
      <c r="S45" s="112"/>
      <c r="T45" s="110">
        <v>160</v>
      </c>
      <c r="U45" s="113"/>
      <c r="V45" s="114"/>
      <c r="W45" s="115">
        <v>150</v>
      </c>
      <c r="X45" s="116"/>
      <c r="Y45" s="112">
        <v>450</v>
      </c>
      <c r="Z45" s="112"/>
      <c r="AA45" s="113"/>
      <c r="AB45" s="114"/>
      <c r="AC45" s="113">
        <v>6300</v>
      </c>
      <c r="AD45" s="114">
        <v>500</v>
      </c>
      <c r="AE45" s="110">
        <v>2000</v>
      </c>
      <c r="AF45" s="110"/>
      <c r="AG45" s="115"/>
      <c r="AH45" s="113"/>
      <c r="AI45" s="114"/>
      <c r="AJ45" s="117"/>
      <c r="AK45" s="118"/>
      <c r="AL45" s="118"/>
      <c r="AM45" s="118"/>
      <c r="AN45" s="119"/>
      <c r="AO45" s="120">
        <f t="shared" si="20"/>
        <v>91010</v>
      </c>
      <c r="AP45" s="121"/>
      <c r="AQ45" s="121">
        <f t="shared" si="21"/>
        <v>0</v>
      </c>
      <c r="AR45" s="121">
        <f t="shared" si="22"/>
        <v>0</v>
      </c>
      <c r="AS45" s="122">
        <v>145490</v>
      </c>
      <c r="AT45" s="123">
        <f t="shared" si="23"/>
        <v>1.5986155367542028</v>
      </c>
      <c r="AU45" s="124">
        <v>2580</v>
      </c>
      <c r="AV45" s="125">
        <v>10080</v>
      </c>
      <c r="AW45" s="112">
        <v>180</v>
      </c>
      <c r="AX45" s="116">
        <v>3000</v>
      </c>
      <c r="AY45" s="116">
        <v>700</v>
      </c>
      <c r="AZ45" s="116">
        <v>220</v>
      </c>
      <c r="BA45" s="126">
        <v>400</v>
      </c>
      <c r="BB45" s="127">
        <f t="shared" si="24"/>
        <v>17160</v>
      </c>
      <c r="BC45" s="128"/>
      <c r="BD45" s="127">
        <f t="shared" si="25"/>
        <v>0</v>
      </c>
      <c r="BE45" s="129"/>
      <c r="BF45" s="130">
        <v>1000</v>
      </c>
      <c r="BG45" s="131">
        <v>500</v>
      </c>
      <c r="BH45" s="131">
        <v>1550</v>
      </c>
      <c r="BI45" s="132"/>
      <c r="BJ45" s="133">
        <f t="shared" si="26"/>
        <v>3050</v>
      </c>
      <c r="BK45" s="129"/>
      <c r="BL45" s="131">
        <v>1900</v>
      </c>
      <c r="BM45" s="131">
        <v>1600</v>
      </c>
      <c r="BN45" s="131"/>
      <c r="BO45" s="131"/>
      <c r="BP45" s="134">
        <v>1600</v>
      </c>
      <c r="BQ45" s="132"/>
      <c r="BR45" s="135">
        <f t="shared" si="27"/>
        <v>5100</v>
      </c>
      <c r="BS45" s="124">
        <v>60</v>
      </c>
      <c r="BT45" s="125">
        <v>580</v>
      </c>
      <c r="BU45" s="125"/>
      <c r="BV45" s="125">
        <v>40</v>
      </c>
      <c r="BW45" s="125">
        <v>200</v>
      </c>
      <c r="BX45" s="125">
        <v>1020</v>
      </c>
      <c r="BY45" s="112">
        <v>1100</v>
      </c>
      <c r="BZ45" s="112">
        <v>40</v>
      </c>
      <c r="CA45" s="112"/>
      <c r="CB45" s="112"/>
      <c r="CC45" s="125"/>
      <c r="CD45" s="112"/>
      <c r="CE45" s="125"/>
      <c r="CF45" s="112"/>
      <c r="CG45" s="112"/>
      <c r="CH45" s="112"/>
      <c r="CI45" s="112"/>
      <c r="CJ45" s="112"/>
      <c r="CK45" s="112">
        <v>820</v>
      </c>
      <c r="CL45" s="126">
        <v>40</v>
      </c>
      <c r="CM45" s="136">
        <f t="shared" si="28"/>
        <v>3900</v>
      </c>
      <c r="CN45" s="137"/>
      <c r="CO45" s="112"/>
      <c r="CP45" s="112">
        <v>240</v>
      </c>
      <c r="CQ45" s="112"/>
      <c r="CR45" s="112"/>
      <c r="CS45" s="112"/>
      <c r="CT45" s="112"/>
      <c r="CU45" s="112"/>
      <c r="CV45" s="112">
        <v>20</v>
      </c>
      <c r="CW45" s="112"/>
      <c r="CX45" s="112"/>
      <c r="CY45" s="112"/>
      <c r="CZ45" s="126"/>
      <c r="DA45" s="135">
        <f t="shared" si="29"/>
        <v>260</v>
      </c>
      <c r="DB45" s="192">
        <f t="shared" si="30"/>
        <v>3900</v>
      </c>
      <c r="DC45" s="115">
        <f t="shared" si="31"/>
        <v>0</v>
      </c>
      <c r="DD45" s="115">
        <f t="shared" si="32"/>
        <v>8150</v>
      </c>
      <c r="DE45" s="115">
        <f t="shared" si="33"/>
        <v>96158</v>
      </c>
      <c r="DF45" s="115">
        <f t="shared" si="34"/>
        <v>0</v>
      </c>
      <c r="DG45" s="115">
        <f t="shared" si="35"/>
        <v>0</v>
      </c>
      <c r="DH45" s="115">
        <f t="shared" si="36"/>
        <v>260</v>
      </c>
      <c r="DI45" s="193">
        <v>0</v>
      </c>
      <c r="DJ45" s="193">
        <v>0</v>
      </c>
      <c r="DK45" s="115">
        <f t="shared" si="37"/>
        <v>0</v>
      </c>
      <c r="DL45" s="194">
        <v>0</v>
      </c>
      <c r="DM45" s="195">
        <f t="shared" si="38"/>
        <v>7.5137367702916985E-2</v>
      </c>
      <c r="DN45" s="143"/>
      <c r="DO45" s="144">
        <f t="shared" si="39"/>
        <v>100318</v>
      </c>
      <c r="DP45" s="145">
        <f t="shared" si="40"/>
        <v>8150</v>
      </c>
    </row>
    <row r="46" spans="1:120">
      <c r="A46" s="146"/>
      <c r="B46" s="318">
        <f t="shared" si="41"/>
        <v>43952</v>
      </c>
      <c r="C46" s="150">
        <v>36855</v>
      </c>
      <c r="D46" s="147">
        <v>2000</v>
      </c>
      <c r="E46" s="148">
        <v>15810</v>
      </c>
      <c r="F46" s="149"/>
      <c r="G46" s="148"/>
      <c r="H46" s="150"/>
      <c r="I46" s="147"/>
      <c r="J46" s="150"/>
      <c r="K46" s="150"/>
      <c r="L46" s="150">
        <v>400</v>
      </c>
      <c r="M46" s="147">
        <v>2730</v>
      </c>
      <c r="N46" s="151"/>
      <c r="O46" s="149">
        <v>12180</v>
      </c>
      <c r="P46" s="152">
        <v>1125</v>
      </c>
      <c r="Q46" s="152"/>
      <c r="R46" s="151"/>
      <c r="S46" s="152"/>
      <c r="T46" s="151">
        <v>180</v>
      </c>
      <c r="U46" s="153"/>
      <c r="V46" s="154"/>
      <c r="W46" s="155">
        <v>180</v>
      </c>
      <c r="X46" s="156"/>
      <c r="Y46" s="152">
        <v>600</v>
      </c>
      <c r="Z46" s="152"/>
      <c r="AA46" s="153"/>
      <c r="AB46" s="154">
        <v>1000</v>
      </c>
      <c r="AC46" s="153">
        <v>2520</v>
      </c>
      <c r="AD46" s="154"/>
      <c r="AE46" s="151">
        <v>2000</v>
      </c>
      <c r="AF46" s="151"/>
      <c r="AG46" s="155"/>
      <c r="AH46" s="153"/>
      <c r="AI46" s="154">
        <v>1000</v>
      </c>
      <c r="AJ46" s="157"/>
      <c r="AK46" s="158"/>
      <c r="AL46" s="158"/>
      <c r="AM46" s="158"/>
      <c r="AN46" s="159"/>
      <c r="AO46" s="160">
        <f t="shared" si="20"/>
        <v>78580</v>
      </c>
      <c r="AP46" s="161"/>
      <c r="AQ46" s="161">
        <f t="shared" si="21"/>
        <v>0</v>
      </c>
      <c r="AR46" s="161">
        <f t="shared" si="22"/>
        <v>0</v>
      </c>
      <c r="AS46" s="162">
        <v>118533</v>
      </c>
      <c r="AT46" s="163">
        <f t="shared" si="23"/>
        <v>1.5084372613896666</v>
      </c>
      <c r="AU46" s="164">
        <v>2100</v>
      </c>
      <c r="AV46" s="165">
        <v>5910</v>
      </c>
      <c r="AW46" s="152"/>
      <c r="AX46" s="156">
        <v>2000</v>
      </c>
      <c r="AY46" s="156">
        <v>250</v>
      </c>
      <c r="AZ46" s="156"/>
      <c r="BA46" s="166">
        <v>200</v>
      </c>
      <c r="BB46" s="167">
        <f t="shared" si="24"/>
        <v>10460</v>
      </c>
      <c r="BC46" s="168"/>
      <c r="BD46" s="167">
        <f t="shared" si="25"/>
        <v>0</v>
      </c>
      <c r="BE46" s="169"/>
      <c r="BF46" s="170">
        <v>500</v>
      </c>
      <c r="BG46" s="171"/>
      <c r="BH46" s="171">
        <v>1525</v>
      </c>
      <c r="BI46" s="172"/>
      <c r="BJ46" s="173">
        <f t="shared" si="26"/>
        <v>2025</v>
      </c>
      <c r="BK46" s="169"/>
      <c r="BL46" s="171">
        <v>2780</v>
      </c>
      <c r="BM46" s="171">
        <v>2400</v>
      </c>
      <c r="BN46" s="171"/>
      <c r="BO46" s="171"/>
      <c r="BP46" s="174">
        <v>800</v>
      </c>
      <c r="BQ46" s="172"/>
      <c r="BR46" s="175">
        <f t="shared" si="27"/>
        <v>5980</v>
      </c>
      <c r="BS46" s="164">
        <v>20</v>
      </c>
      <c r="BT46" s="165">
        <v>1620</v>
      </c>
      <c r="BU46" s="165"/>
      <c r="BV46" s="165">
        <v>20</v>
      </c>
      <c r="BW46" s="165"/>
      <c r="BX46" s="165">
        <v>820</v>
      </c>
      <c r="BY46" s="152">
        <v>700</v>
      </c>
      <c r="BZ46" s="152"/>
      <c r="CA46" s="152"/>
      <c r="CB46" s="152"/>
      <c r="CC46" s="165"/>
      <c r="CD46" s="152"/>
      <c r="CE46" s="165"/>
      <c r="CF46" s="152"/>
      <c r="CG46" s="152"/>
      <c r="CH46" s="152">
        <v>10</v>
      </c>
      <c r="CI46" s="152"/>
      <c r="CJ46" s="152"/>
      <c r="CK46" s="152">
        <v>560</v>
      </c>
      <c r="CL46" s="166">
        <v>140</v>
      </c>
      <c r="CM46" s="176">
        <f t="shared" si="28"/>
        <v>3890</v>
      </c>
      <c r="CN46" s="177"/>
      <c r="CO46" s="152"/>
      <c r="CP46" s="152">
        <v>50</v>
      </c>
      <c r="CQ46" s="152"/>
      <c r="CR46" s="152"/>
      <c r="CS46" s="152">
        <v>100</v>
      </c>
      <c r="CT46" s="152">
        <v>100</v>
      </c>
      <c r="CU46" s="152"/>
      <c r="CV46" s="152"/>
      <c r="CW46" s="152"/>
      <c r="CX46" s="152"/>
      <c r="CY46" s="152"/>
      <c r="CZ46" s="166"/>
      <c r="DA46" s="175">
        <f t="shared" si="29"/>
        <v>250</v>
      </c>
      <c r="DB46" s="186">
        <f t="shared" si="30"/>
        <v>3890</v>
      </c>
      <c r="DC46" s="187">
        <f t="shared" si="31"/>
        <v>0</v>
      </c>
      <c r="DD46" s="187">
        <f t="shared" si="32"/>
        <v>8005</v>
      </c>
      <c r="DE46" s="187">
        <f t="shared" si="33"/>
        <v>81718</v>
      </c>
      <c r="DF46" s="187">
        <f t="shared" si="34"/>
        <v>0</v>
      </c>
      <c r="DG46" s="187">
        <f t="shared" si="35"/>
        <v>0</v>
      </c>
      <c r="DH46" s="187">
        <f t="shared" si="36"/>
        <v>250</v>
      </c>
      <c r="DI46" s="188">
        <v>0</v>
      </c>
      <c r="DJ46" s="188">
        <v>0</v>
      </c>
      <c r="DK46" s="187">
        <f t="shared" si="37"/>
        <v>0</v>
      </c>
      <c r="DL46" s="189">
        <v>0</v>
      </c>
      <c r="DM46" s="190">
        <f t="shared" si="38"/>
        <v>8.5283871173945008E-2</v>
      </c>
      <c r="DN46" s="182"/>
      <c r="DO46" s="183">
        <f t="shared" si="39"/>
        <v>85858</v>
      </c>
      <c r="DP46" s="184">
        <f t="shared" si="40"/>
        <v>8005</v>
      </c>
    </row>
    <row r="47" spans="1:120">
      <c r="A47" s="146"/>
      <c r="B47" s="318">
        <f t="shared" si="41"/>
        <v>43983</v>
      </c>
      <c r="C47" s="150">
        <v>43665</v>
      </c>
      <c r="D47" s="147">
        <v>4000</v>
      </c>
      <c r="E47" s="148">
        <v>19500</v>
      </c>
      <c r="F47" s="149"/>
      <c r="G47" s="148"/>
      <c r="H47" s="150"/>
      <c r="I47" s="147">
        <v>150</v>
      </c>
      <c r="J47" s="150"/>
      <c r="K47" s="150"/>
      <c r="L47" s="150">
        <v>675</v>
      </c>
      <c r="M47" s="147">
        <v>3030</v>
      </c>
      <c r="N47" s="151"/>
      <c r="O47" s="149">
        <v>12720</v>
      </c>
      <c r="P47" s="152">
        <v>250</v>
      </c>
      <c r="Q47" s="152"/>
      <c r="R47" s="151"/>
      <c r="S47" s="152"/>
      <c r="T47" s="151"/>
      <c r="U47" s="153"/>
      <c r="V47" s="154"/>
      <c r="W47" s="155">
        <v>240</v>
      </c>
      <c r="X47" s="156"/>
      <c r="Y47" s="152">
        <v>550</v>
      </c>
      <c r="Z47" s="152"/>
      <c r="AA47" s="153"/>
      <c r="AB47" s="154"/>
      <c r="AC47" s="153">
        <v>7560</v>
      </c>
      <c r="AD47" s="154"/>
      <c r="AE47" s="151">
        <v>2000</v>
      </c>
      <c r="AF47" s="151"/>
      <c r="AG47" s="155"/>
      <c r="AH47" s="153"/>
      <c r="AI47" s="154"/>
      <c r="AJ47" s="157"/>
      <c r="AK47" s="158"/>
      <c r="AL47" s="158"/>
      <c r="AM47" s="158">
        <v>320</v>
      </c>
      <c r="AN47" s="159"/>
      <c r="AO47" s="160">
        <f t="shared" si="20"/>
        <v>94340</v>
      </c>
      <c r="AP47" s="161"/>
      <c r="AQ47" s="161">
        <f t="shared" si="21"/>
        <v>320</v>
      </c>
      <c r="AR47" s="161">
        <f t="shared" si="22"/>
        <v>0</v>
      </c>
      <c r="AS47" s="162">
        <v>144594</v>
      </c>
      <c r="AT47" s="163">
        <f t="shared" si="23"/>
        <v>1.5275089795055989</v>
      </c>
      <c r="AU47" s="164">
        <v>2100</v>
      </c>
      <c r="AV47" s="165">
        <v>9240</v>
      </c>
      <c r="AW47" s="152"/>
      <c r="AX47" s="156">
        <v>3500</v>
      </c>
      <c r="AY47" s="156">
        <v>1050</v>
      </c>
      <c r="AZ47" s="156"/>
      <c r="BA47" s="166"/>
      <c r="BB47" s="167">
        <f t="shared" si="24"/>
        <v>15890</v>
      </c>
      <c r="BC47" s="168">
        <v>192</v>
      </c>
      <c r="BD47" s="167">
        <f t="shared" si="25"/>
        <v>192</v>
      </c>
      <c r="BE47" s="169"/>
      <c r="BF47" s="170">
        <v>1000</v>
      </c>
      <c r="BG47" s="171">
        <v>500</v>
      </c>
      <c r="BH47" s="171">
        <v>1175</v>
      </c>
      <c r="BI47" s="172"/>
      <c r="BJ47" s="173">
        <f t="shared" si="26"/>
        <v>2675</v>
      </c>
      <c r="BK47" s="169"/>
      <c r="BL47" s="171">
        <v>2620</v>
      </c>
      <c r="BM47" s="171">
        <v>2400</v>
      </c>
      <c r="BN47" s="171"/>
      <c r="BO47" s="171"/>
      <c r="BP47" s="174">
        <v>800</v>
      </c>
      <c r="BQ47" s="172"/>
      <c r="BR47" s="175">
        <f t="shared" si="27"/>
        <v>5820</v>
      </c>
      <c r="BS47" s="164">
        <v>80</v>
      </c>
      <c r="BT47" s="165">
        <v>500</v>
      </c>
      <c r="BU47" s="165"/>
      <c r="BV47" s="165">
        <v>40</v>
      </c>
      <c r="BW47" s="165">
        <v>100</v>
      </c>
      <c r="BX47" s="165">
        <v>1120</v>
      </c>
      <c r="BY47" s="152">
        <v>1140</v>
      </c>
      <c r="BZ47" s="152">
        <v>40</v>
      </c>
      <c r="CA47" s="152"/>
      <c r="CB47" s="152"/>
      <c r="CC47" s="165"/>
      <c r="CD47" s="152"/>
      <c r="CE47" s="165"/>
      <c r="CF47" s="152"/>
      <c r="CG47" s="152"/>
      <c r="CH47" s="152">
        <v>10</v>
      </c>
      <c r="CI47" s="152">
        <v>100</v>
      </c>
      <c r="CJ47" s="152"/>
      <c r="CK47" s="152">
        <v>640</v>
      </c>
      <c r="CL47" s="166">
        <v>220</v>
      </c>
      <c r="CM47" s="176">
        <f t="shared" si="28"/>
        <v>3990</v>
      </c>
      <c r="CN47" s="177"/>
      <c r="CO47" s="152"/>
      <c r="CP47" s="152">
        <v>180</v>
      </c>
      <c r="CQ47" s="152"/>
      <c r="CR47" s="152"/>
      <c r="CS47" s="152"/>
      <c r="CT47" s="152"/>
      <c r="CU47" s="152"/>
      <c r="CV47" s="152"/>
      <c r="CW47" s="152"/>
      <c r="CX47" s="152">
        <v>30</v>
      </c>
      <c r="CY47" s="152"/>
      <c r="CZ47" s="166"/>
      <c r="DA47" s="175">
        <f t="shared" si="29"/>
        <v>210</v>
      </c>
      <c r="DB47" s="178">
        <f t="shared" si="30"/>
        <v>3990</v>
      </c>
      <c r="DC47" s="155">
        <f t="shared" si="31"/>
        <v>0</v>
      </c>
      <c r="DD47" s="155">
        <f t="shared" si="32"/>
        <v>8495</v>
      </c>
      <c r="DE47" s="155">
        <f t="shared" si="33"/>
        <v>99107</v>
      </c>
      <c r="DF47" s="155">
        <f t="shared" si="34"/>
        <v>0</v>
      </c>
      <c r="DG47" s="155">
        <f t="shared" si="35"/>
        <v>0</v>
      </c>
      <c r="DH47" s="155">
        <f t="shared" si="36"/>
        <v>210</v>
      </c>
      <c r="DI47" s="179">
        <v>0</v>
      </c>
      <c r="DJ47" s="179">
        <v>0</v>
      </c>
      <c r="DK47" s="155">
        <f t="shared" si="37"/>
        <v>377.6</v>
      </c>
      <c r="DL47" s="180">
        <v>0</v>
      </c>
      <c r="DM47" s="181">
        <f t="shared" si="38"/>
        <v>7.9092811883800615E-2</v>
      </c>
      <c r="DN47" s="182"/>
      <c r="DO47" s="183">
        <f t="shared" si="39"/>
        <v>103307</v>
      </c>
      <c r="DP47" s="184">
        <f t="shared" si="40"/>
        <v>8872.6</v>
      </c>
    </row>
    <row r="48" spans="1:120">
      <c r="A48" s="196"/>
      <c r="B48" s="326">
        <f t="shared" si="41"/>
        <v>44013</v>
      </c>
      <c r="C48" s="150">
        <v>39375</v>
      </c>
      <c r="D48" s="147">
        <v>2000</v>
      </c>
      <c r="E48" s="148">
        <v>21060</v>
      </c>
      <c r="F48" s="149"/>
      <c r="G48" s="148"/>
      <c r="H48" s="150"/>
      <c r="I48" s="147">
        <v>150</v>
      </c>
      <c r="J48" s="150"/>
      <c r="K48" s="150"/>
      <c r="L48" s="150">
        <v>250</v>
      </c>
      <c r="M48" s="147">
        <v>3015</v>
      </c>
      <c r="N48" s="151"/>
      <c r="O48" s="149">
        <v>15315</v>
      </c>
      <c r="P48" s="152">
        <v>25</v>
      </c>
      <c r="Q48" s="152"/>
      <c r="R48" s="151"/>
      <c r="S48" s="152"/>
      <c r="T48" s="151">
        <v>340</v>
      </c>
      <c r="U48" s="153"/>
      <c r="V48" s="154"/>
      <c r="W48" s="155">
        <v>100</v>
      </c>
      <c r="X48" s="156"/>
      <c r="Y48" s="152">
        <v>575</v>
      </c>
      <c r="Z48" s="152"/>
      <c r="AA48" s="153"/>
      <c r="AB48" s="154"/>
      <c r="AC48" s="153">
        <v>6300</v>
      </c>
      <c r="AD48" s="154"/>
      <c r="AE48" s="151">
        <v>2000</v>
      </c>
      <c r="AF48" s="151"/>
      <c r="AG48" s="155"/>
      <c r="AH48" s="153"/>
      <c r="AI48" s="154"/>
      <c r="AJ48" s="157"/>
      <c r="AK48" s="158">
        <v>1000</v>
      </c>
      <c r="AL48" s="158"/>
      <c r="AM48" s="158"/>
      <c r="AN48" s="159"/>
      <c r="AO48" s="160">
        <f t="shared" si="20"/>
        <v>91505</v>
      </c>
      <c r="AP48" s="161"/>
      <c r="AQ48" s="161">
        <f t="shared" si="21"/>
        <v>0</v>
      </c>
      <c r="AR48" s="161">
        <f t="shared" si="22"/>
        <v>0</v>
      </c>
      <c r="AS48" s="162">
        <v>158386</v>
      </c>
      <c r="AT48" s="163">
        <f t="shared" si="23"/>
        <v>1.7308999508223595</v>
      </c>
      <c r="AU48" s="164">
        <v>1500</v>
      </c>
      <c r="AV48" s="165">
        <v>9360</v>
      </c>
      <c r="AW48" s="152">
        <v>420</v>
      </c>
      <c r="AX48" s="156">
        <v>7000</v>
      </c>
      <c r="AY48" s="156">
        <v>900</v>
      </c>
      <c r="AZ48" s="156">
        <v>280</v>
      </c>
      <c r="BA48" s="166">
        <v>200</v>
      </c>
      <c r="BB48" s="167">
        <f t="shared" si="24"/>
        <v>19660</v>
      </c>
      <c r="BC48" s="168"/>
      <c r="BD48" s="167">
        <f t="shared" si="25"/>
        <v>0</v>
      </c>
      <c r="BE48" s="169"/>
      <c r="BF48" s="170">
        <v>1500</v>
      </c>
      <c r="BG48" s="171">
        <v>500</v>
      </c>
      <c r="BH48" s="171">
        <v>2500</v>
      </c>
      <c r="BI48" s="172"/>
      <c r="BJ48" s="173">
        <f t="shared" si="26"/>
        <v>4500</v>
      </c>
      <c r="BK48" s="169"/>
      <c r="BL48" s="171">
        <v>4140</v>
      </c>
      <c r="BM48" s="171">
        <v>4000</v>
      </c>
      <c r="BN48" s="171"/>
      <c r="BO48" s="171"/>
      <c r="BP48" s="174">
        <v>2400</v>
      </c>
      <c r="BQ48" s="172"/>
      <c r="BR48" s="175">
        <f t="shared" si="27"/>
        <v>10540</v>
      </c>
      <c r="BS48" s="164">
        <v>140</v>
      </c>
      <c r="BT48" s="165">
        <v>20</v>
      </c>
      <c r="BU48" s="165"/>
      <c r="BV48" s="165">
        <v>20</v>
      </c>
      <c r="BW48" s="165">
        <v>200</v>
      </c>
      <c r="BX48" s="165">
        <v>980</v>
      </c>
      <c r="BY48" s="152">
        <v>1220</v>
      </c>
      <c r="BZ48" s="152"/>
      <c r="CA48" s="152"/>
      <c r="CB48" s="152"/>
      <c r="CC48" s="165"/>
      <c r="CD48" s="152"/>
      <c r="CE48" s="165"/>
      <c r="CF48" s="152"/>
      <c r="CG48" s="152"/>
      <c r="CH48" s="152"/>
      <c r="CI48" s="152">
        <v>100</v>
      </c>
      <c r="CJ48" s="152"/>
      <c r="CK48" s="152">
        <v>920</v>
      </c>
      <c r="CL48" s="166">
        <v>140</v>
      </c>
      <c r="CM48" s="176">
        <f t="shared" si="28"/>
        <v>3740</v>
      </c>
      <c r="CN48" s="177"/>
      <c r="CO48" s="152"/>
      <c r="CP48" s="152">
        <v>150</v>
      </c>
      <c r="CQ48" s="152"/>
      <c r="CR48" s="152"/>
      <c r="CS48" s="152"/>
      <c r="CT48" s="152"/>
      <c r="CU48" s="152"/>
      <c r="CV48" s="152"/>
      <c r="CW48" s="152"/>
      <c r="CX48" s="152"/>
      <c r="CY48" s="152"/>
      <c r="CZ48" s="166"/>
      <c r="DA48" s="175">
        <f t="shared" si="29"/>
        <v>150</v>
      </c>
      <c r="DB48" s="186">
        <f t="shared" si="30"/>
        <v>3740</v>
      </c>
      <c r="DC48" s="187">
        <f t="shared" si="31"/>
        <v>0</v>
      </c>
      <c r="DD48" s="187">
        <f t="shared" si="32"/>
        <v>15040</v>
      </c>
      <c r="DE48" s="187">
        <f t="shared" si="33"/>
        <v>97403</v>
      </c>
      <c r="DF48" s="187">
        <f t="shared" si="34"/>
        <v>0</v>
      </c>
      <c r="DG48" s="187">
        <f t="shared" si="35"/>
        <v>0</v>
      </c>
      <c r="DH48" s="187">
        <f t="shared" si="36"/>
        <v>150</v>
      </c>
      <c r="DI48" s="188">
        <v>0</v>
      </c>
      <c r="DJ48" s="188">
        <v>0</v>
      </c>
      <c r="DK48" s="187">
        <f t="shared" si="37"/>
        <v>0</v>
      </c>
      <c r="DL48" s="189">
        <v>0</v>
      </c>
      <c r="DM48" s="190">
        <f t="shared" si="38"/>
        <v>0.12928403806314631</v>
      </c>
      <c r="DN48" s="182"/>
      <c r="DO48" s="183">
        <f t="shared" si="39"/>
        <v>101293</v>
      </c>
      <c r="DP48" s="184">
        <f t="shared" si="40"/>
        <v>15040</v>
      </c>
    </row>
    <row r="49" spans="1:120">
      <c r="A49" s="146"/>
      <c r="B49" s="318">
        <f t="shared" si="41"/>
        <v>44044</v>
      </c>
      <c r="C49" s="150">
        <v>34800</v>
      </c>
      <c r="D49" s="147">
        <v>1000</v>
      </c>
      <c r="E49" s="148">
        <v>11910</v>
      </c>
      <c r="F49" s="149"/>
      <c r="G49" s="148"/>
      <c r="H49" s="150"/>
      <c r="I49" s="147">
        <v>240</v>
      </c>
      <c r="J49" s="150"/>
      <c r="K49" s="150"/>
      <c r="L49" s="150">
        <v>475</v>
      </c>
      <c r="M49" s="147">
        <v>2280</v>
      </c>
      <c r="N49" s="151"/>
      <c r="O49" s="149">
        <v>11610</v>
      </c>
      <c r="P49" s="152"/>
      <c r="Q49" s="152"/>
      <c r="R49" s="151"/>
      <c r="S49" s="152">
        <v>50</v>
      </c>
      <c r="T49" s="151">
        <v>80</v>
      </c>
      <c r="U49" s="153"/>
      <c r="V49" s="154"/>
      <c r="W49" s="155">
        <v>540</v>
      </c>
      <c r="X49" s="156"/>
      <c r="Y49" s="152">
        <v>525</v>
      </c>
      <c r="Z49" s="152"/>
      <c r="AA49" s="153"/>
      <c r="AB49" s="154"/>
      <c r="AC49" s="153">
        <v>6300</v>
      </c>
      <c r="AD49" s="154">
        <v>2000</v>
      </c>
      <c r="AE49" s="151">
        <v>2000</v>
      </c>
      <c r="AF49" s="151"/>
      <c r="AG49" s="155"/>
      <c r="AH49" s="153"/>
      <c r="AI49" s="154"/>
      <c r="AJ49" s="157"/>
      <c r="AK49" s="158"/>
      <c r="AL49" s="158"/>
      <c r="AM49" s="158">
        <v>160</v>
      </c>
      <c r="AN49" s="159"/>
      <c r="AO49" s="160">
        <f t="shared" si="20"/>
        <v>73810</v>
      </c>
      <c r="AP49" s="161"/>
      <c r="AQ49" s="161">
        <f t="shared" si="21"/>
        <v>160</v>
      </c>
      <c r="AR49" s="161">
        <f t="shared" si="22"/>
        <v>0</v>
      </c>
      <c r="AS49" s="162">
        <v>105413</v>
      </c>
      <c r="AT49" s="163">
        <f t="shared" si="23"/>
        <v>1.4250777342165744</v>
      </c>
      <c r="AU49" s="164">
        <v>2280</v>
      </c>
      <c r="AV49" s="165">
        <v>7530</v>
      </c>
      <c r="AW49" s="152"/>
      <c r="AX49" s="156">
        <v>3500</v>
      </c>
      <c r="AY49" s="156"/>
      <c r="AZ49" s="156"/>
      <c r="BA49" s="166">
        <v>320</v>
      </c>
      <c r="BB49" s="167">
        <f t="shared" si="24"/>
        <v>13630</v>
      </c>
      <c r="BC49" s="168">
        <v>120</v>
      </c>
      <c r="BD49" s="167">
        <f t="shared" si="25"/>
        <v>120</v>
      </c>
      <c r="BE49" s="169"/>
      <c r="BF49" s="170">
        <v>1000</v>
      </c>
      <c r="BG49" s="171">
        <v>500</v>
      </c>
      <c r="BH49" s="171">
        <v>1475</v>
      </c>
      <c r="BI49" s="172"/>
      <c r="BJ49" s="173">
        <f t="shared" si="26"/>
        <v>2975</v>
      </c>
      <c r="BK49" s="169"/>
      <c r="BL49" s="171">
        <v>2100</v>
      </c>
      <c r="BM49" s="171">
        <v>2400</v>
      </c>
      <c r="BN49" s="171"/>
      <c r="BO49" s="171"/>
      <c r="BP49" s="174">
        <v>1600</v>
      </c>
      <c r="BQ49" s="172"/>
      <c r="BR49" s="175">
        <f t="shared" si="27"/>
        <v>6100</v>
      </c>
      <c r="BS49" s="164">
        <v>20</v>
      </c>
      <c r="BT49" s="165"/>
      <c r="BU49" s="165"/>
      <c r="BV49" s="165"/>
      <c r="BW49" s="165"/>
      <c r="BX49" s="165">
        <v>620</v>
      </c>
      <c r="BY49" s="152">
        <v>680</v>
      </c>
      <c r="BZ49" s="152">
        <v>20</v>
      </c>
      <c r="CA49" s="152"/>
      <c r="CB49" s="152"/>
      <c r="CC49" s="165"/>
      <c r="CD49" s="152"/>
      <c r="CE49" s="165"/>
      <c r="CF49" s="152"/>
      <c r="CG49" s="152"/>
      <c r="CH49" s="152"/>
      <c r="CI49" s="152"/>
      <c r="CJ49" s="152"/>
      <c r="CK49" s="152">
        <v>600</v>
      </c>
      <c r="CL49" s="166">
        <v>100</v>
      </c>
      <c r="CM49" s="176">
        <f t="shared" si="28"/>
        <v>2040</v>
      </c>
      <c r="CN49" s="177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66"/>
      <c r="DA49" s="175">
        <f t="shared" si="29"/>
        <v>0</v>
      </c>
      <c r="DB49" s="178">
        <f t="shared" si="30"/>
        <v>2040</v>
      </c>
      <c r="DC49" s="155">
        <f t="shared" si="31"/>
        <v>0</v>
      </c>
      <c r="DD49" s="155">
        <f t="shared" si="32"/>
        <v>9075</v>
      </c>
      <c r="DE49" s="155">
        <f t="shared" si="33"/>
        <v>77899</v>
      </c>
      <c r="DF49" s="155">
        <f t="shared" si="34"/>
        <v>0</v>
      </c>
      <c r="DG49" s="155">
        <f t="shared" si="35"/>
        <v>0</v>
      </c>
      <c r="DH49" s="155">
        <f t="shared" si="36"/>
        <v>0</v>
      </c>
      <c r="DI49" s="179">
        <v>0</v>
      </c>
      <c r="DJ49" s="179">
        <v>0</v>
      </c>
      <c r="DK49" s="155">
        <f t="shared" si="37"/>
        <v>196</v>
      </c>
      <c r="DL49" s="180">
        <v>0</v>
      </c>
      <c r="DM49" s="181">
        <f t="shared" si="38"/>
        <v>0.10392332698128012</v>
      </c>
      <c r="DN49" s="182"/>
      <c r="DO49" s="183">
        <f t="shared" si="39"/>
        <v>79939</v>
      </c>
      <c r="DP49" s="184">
        <f t="shared" si="40"/>
        <v>9271</v>
      </c>
    </row>
    <row r="50" spans="1:120">
      <c r="A50" s="146"/>
      <c r="B50" s="318">
        <f t="shared" si="41"/>
        <v>44075</v>
      </c>
      <c r="C50" s="150">
        <v>36705</v>
      </c>
      <c r="D50" s="147">
        <v>3000</v>
      </c>
      <c r="E50" s="148">
        <v>22260</v>
      </c>
      <c r="F50" s="149"/>
      <c r="G50" s="148"/>
      <c r="H50" s="150"/>
      <c r="I50" s="147"/>
      <c r="J50" s="150"/>
      <c r="K50" s="150"/>
      <c r="L50" s="150">
        <v>850</v>
      </c>
      <c r="M50" s="147">
        <v>2760</v>
      </c>
      <c r="N50" s="151"/>
      <c r="O50" s="149">
        <v>13920</v>
      </c>
      <c r="P50" s="152">
        <v>250</v>
      </c>
      <c r="Q50" s="152"/>
      <c r="R50" s="151"/>
      <c r="S50" s="152"/>
      <c r="T50" s="151">
        <v>60</v>
      </c>
      <c r="U50" s="153"/>
      <c r="V50" s="154"/>
      <c r="W50" s="155"/>
      <c r="X50" s="156"/>
      <c r="Y50" s="152">
        <v>925</v>
      </c>
      <c r="Z50" s="152"/>
      <c r="AA50" s="153"/>
      <c r="AB50" s="154"/>
      <c r="AC50" s="153">
        <v>5040</v>
      </c>
      <c r="AD50" s="154"/>
      <c r="AE50" s="151">
        <v>4000</v>
      </c>
      <c r="AF50" s="151"/>
      <c r="AG50" s="155"/>
      <c r="AH50" s="153"/>
      <c r="AI50" s="154"/>
      <c r="AJ50" s="157"/>
      <c r="AK50" s="158"/>
      <c r="AL50" s="158"/>
      <c r="AM50" s="158"/>
      <c r="AN50" s="159"/>
      <c r="AO50" s="160">
        <f t="shared" si="20"/>
        <v>89770</v>
      </c>
      <c r="AP50" s="161"/>
      <c r="AQ50" s="161">
        <f t="shared" si="21"/>
        <v>0</v>
      </c>
      <c r="AR50" s="161">
        <f t="shared" si="22"/>
        <v>0</v>
      </c>
      <c r="AS50" s="162">
        <v>132032</v>
      </c>
      <c r="AT50" s="163">
        <f t="shared" si="23"/>
        <v>1.4707808844825665</v>
      </c>
      <c r="AU50" s="164">
        <v>1920</v>
      </c>
      <c r="AV50" s="165">
        <v>10980</v>
      </c>
      <c r="AW50" s="152">
        <v>240</v>
      </c>
      <c r="AX50" s="156">
        <v>6400</v>
      </c>
      <c r="AY50" s="156">
        <v>1450</v>
      </c>
      <c r="AZ50" s="156">
        <v>140</v>
      </c>
      <c r="BA50" s="166">
        <v>760</v>
      </c>
      <c r="BB50" s="167">
        <f t="shared" si="24"/>
        <v>21890</v>
      </c>
      <c r="BC50" s="168"/>
      <c r="BD50" s="167">
        <f t="shared" si="25"/>
        <v>0</v>
      </c>
      <c r="BE50" s="169"/>
      <c r="BF50" s="170">
        <v>1500</v>
      </c>
      <c r="BG50" s="171">
        <v>500</v>
      </c>
      <c r="BH50" s="171">
        <v>1850</v>
      </c>
      <c r="BI50" s="172"/>
      <c r="BJ50" s="173">
        <f t="shared" si="26"/>
        <v>3850</v>
      </c>
      <c r="BK50" s="169"/>
      <c r="BL50" s="171">
        <v>2400</v>
      </c>
      <c r="BM50" s="171">
        <v>2400</v>
      </c>
      <c r="BN50" s="171"/>
      <c r="BO50" s="171"/>
      <c r="BP50" s="174">
        <v>1600</v>
      </c>
      <c r="BQ50" s="172"/>
      <c r="BR50" s="175">
        <f t="shared" si="27"/>
        <v>6400</v>
      </c>
      <c r="BS50" s="164">
        <v>20</v>
      </c>
      <c r="BT50" s="165">
        <v>80</v>
      </c>
      <c r="BU50" s="165"/>
      <c r="BV50" s="165"/>
      <c r="BW50" s="165"/>
      <c r="BX50" s="165">
        <v>980</v>
      </c>
      <c r="BY50" s="152">
        <v>1000</v>
      </c>
      <c r="BZ50" s="152"/>
      <c r="CA50" s="152"/>
      <c r="CB50" s="152"/>
      <c r="CC50" s="165"/>
      <c r="CD50" s="152"/>
      <c r="CE50" s="165"/>
      <c r="CF50" s="152"/>
      <c r="CG50" s="152"/>
      <c r="CH50" s="152"/>
      <c r="CI50" s="152">
        <v>160</v>
      </c>
      <c r="CJ50" s="152"/>
      <c r="CK50" s="152">
        <v>560</v>
      </c>
      <c r="CL50" s="166"/>
      <c r="CM50" s="176">
        <f t="shared" si="28"/>
        <v>2800</v>
      </c>
      <c r="CN50" s="177"/>
      <c r="CO50" s="152"/>
      <c r="CP50" s="152"/>
      <c r="CQ50" s="152"/>
      <c r="CR50" s="152"/>
      <c r="CS50" s="152"/>
      <c r="CT50" s="152"/>
      <c r="CU50" s="152"/>
      <c r="CV50" s="152"/>
      <c r="CW50" s="152"/>
      <c r="CX50" s="152"/>
      <c r="CY50" s="152"/>
      <c r="CZ50" s="166"/>
      <c r="DA50" s="175">
        <f t="shared" si="29"/>
        <v>0</v>
      </c>
      <c r="DB50" s="186">
        <f t="shared" si="30"/>
        <v>2800</v>
      </c>
      <c r="DC50" s="187">
        <f t="shared" si="31"/>
        <v>0</v>
      </c>
      <c r="DD50" s="187">
        <f t="shared" si="32"/>
        <v>10250</v>
      </c>
      <c r="DE50" s="187">
        <f t="shared" si="33"/>
        <v>96337</v>
      </c>
      <c r="DF50" s="187">
        <f t="shared" si="34"/>
        <v>0</v>
      </c>
      <c r="DG50" s="187">
        <f t="shared" si="35"/>
        <v>0</v>
      </c>
      <c r="DH50" s="187">
        <f t="shared" si="36"/>
        <v>0</v>
      </c>
      <c r="DI50" s="188">
        <v>0</v>
      </c>
      <c r="DJ50" s="188">
        <v>0</v>
      </c>
      <c r="DK50" s="187">
        <f t="shared" si="37"/>
        <v>0</v>
      </c>
      <c r="DL50" s="189">
        <v>0</v>
      </c>
      <c r="DM50" s="190">
        <f t="shared" si="38"/>
        <v>9.3704005046303496E-2</v>
      </c>
      <c r="DN50" s="182"/>
      <c r="DO50" s="183">
        <f t="shared" si="39"/>
        <v>99137</v>
      </c>
      <c r="DP50" s="184">
        <f t="shared" si="40"/>
        <v>10250</v>
      </c>
    </row>
    <row r="51" spans="1:120">
      <c r="A51" s="146"/>
      <c r="B51" s="318">
        <f t="shared" si="41"/>
        <v>44105</v>
      </c>
      <c r="C51" s="150">
        <v>42975</v>
      </c>
      <c r="D51" s="147">
        <v>3500</v>
      </c>
      <c r="E51" s="148">
        <v>21540</v>
      </c>
      <c r="F51" s="149"/>
      <c r="G51" s="148"/>
      <c r="H51" s="150"/>
      <c r="I51" s="147"/>
      <c r="J51" s="150"/>
      <c r="K51" s="150"/>
      <c r="L51" s="150">
        <v>875</v>
      </c>
      <c r="M51" s="147">
        <v>3315</v>
      </c>
      <c r="N51" s="151"/>
      <c r="O51" s="149">
        <v>16815</v>
      </c>
      <c r="P51" s="152"/>
      <c r="Q51" s="152"/>
      <c r="R51" s="151"/>
      <c r="S51" s="152"/>
      <c r="T51" s="151">
        <v>180</v>
      </c>
      <c r="U51" s="153"/>
      <c r="V51" s="154"/>
      <c r="W51" s="155">
        <v>240</v>
      </c>
      <c r="X51" s="156"/>
      <c r="Y51" s="152">
        <v>400</v>
      </c>
      <c r="Z51" s="152"/>
      <c r="AA51" s="153"/>
      <c r="AB51" s="154"/>
      <c r="AC51" s="153">
        <v>7560</v>
      </c>
      <c r="AD51" s="154"/>
      <c r="AE51" s="151"/>
      <c r="AF51" s="151"/>
      <c r="AG51" s="155"/>
      <c r="AH51" s="153"/>
      <c r="AI51" s="154"/>
      <c r="AJ51" s="157"/>
      <c r="AK51" s="158"/>
      <c r="AL51" s="158"/>
      <c r="AM51" s="158">
        <v>320</v>
      </c>
      <c r="AN51" s="159"/>
      <c r="AO51" s="160">
        <f t="shared" si="20"/>
        <v>97400</v>
      </c>
      <c r="AP51" s="161"/>
      <c r="AQ51" s="161">
        <f t="shared" si="21"/>
        <v>320</v>
      </c>
      <c r="AR51" s="161">
        <f t="shared" si="22"/>
        <v>0</v>
      </c>
      <c r="AS51" s="162">
        <v>134893</v>
      </c>
      <c r="AT51" s="163">
        <f t="shared" si="23"/>
        <v>1.380403192795743</v>
      </c>
      <c r="AU51" s="164">
        <v>2220</v>
      </c>
      <c r="AV51" s="165">
        <v>10890</v>
      </c>
      <c r="AW51" s="152"/>
      <c r="AX51" s="156">
        <v>3500</v>
      </c>
      <c r="AY51" s="156"/>
      <c r="AZ51" s="156"/>
      <c r="BA51" s="166"/>
      <c r="BB51" s="167">
        <f t="shared" si="24"/>
        <v>16610</v>
      </c>
      <c r="BC51" s="168">
        <v>168</v>
      </c>
      <c r="BD51" s="167">
        <f t="shared" si="25"/>
        <v>168</v>
      </c>
      <c r="BE51" s="169"/>
      <c r="BF51" s="170">
        <v>1000</v>
      </c>
      <c r="BG51" s="171"/>
      <c r="BH51" s="171">
        <v>2650</v>
      </c>
      <c r="BI51" s="172"/>
      <c r="BJ51" s="173">
        <f t="shared" si="26"/>
        <v>3650</v>
      </c>
      <c r="BK51" s="169"/>
      <c r="BL51" s="171">
        <v>3340</v>
      </c>
      <c r="BM51" s="171">
        <v>3200</v>
      </c>
      <c r="BN51" s="171"/>
      <c r="BO51" s="171"/>
      <c r="BP51" s="174">
        <v>800</v>
      </c>
      <c r="BQ51" s="172"/>
      <c r="BR51" s="175">
        <f t="shared" si="27"/>
        <v>7340</v>
      </c>
      <c r="BS51" s="164">
        <v>20</v>
      </c>
      <c r="BT51" s="165">
        <v>80</v>
      </c>
      <c r="BU51" s="165"/>
      <c r="BV51" s="165">
        <v>20</v>
      </c>
      <c r="BW51" s="165"/>
      <c r="BX51" s="165">
        <v>960</v>
      </c>
      <c r="BY51" s="152">
        <v>1320</v>
      </c>
      <c r="BZ51" s="152"/>
      <c r="CA51" s="152"/>
      <c r="CB51" s="152"/>
      <c r="CC51" s="165"/>
      <c r="CD51" s="152"/>
      <c r="CE51" s="165"/>
      <c r="CF51" s="152"/>
      <c r="CG51" s="152"/>
      <c r="CH51" s="152"/>
      <c r="CI51" s="152"/>
      <c r="CJ51" s="152"/>
      <c r="CK51" s="152">
        <v>1100</v>
      </c>
      <c r="CL51" s="166">
        <v>180</v>
      </c>
      <c r="CM51" s="176">
        <f t="shared" si="28"/>
        <v>3680</v>
      </c>
      <c r="CN51" s="177"/>
      <c r="CO51" s="152"/>
      <c r="CP51" s="152"/>
      <c r="CQ51" s="152"/>
      <c r="CR51" s="152"/>
      <c r="CS51" s="152">
        <v>30</v>
      </c>
      <c r="CT51" s="152"/>
      <c r="CU51" s="152"/>
      <c r="CV51" s="152"/>
      <c r="CW51" s="152"/>
      <c r="CX51" s="152"/>
      <c r="CY51" s="152"/>
      <c r="CZ51" s="166"/>
      <c r="DA51" s="175">
        <f t="shared" si="29"/>
        <v>30</v>
      </c>
      <c r="DB51" s="178">
        <f t="shared" si="30"/>
        <v>3680</v>
      </c>
      <c r="DC51" s="155">
        <f t="shared" si="31"/>
        <v>0</v>
      </c>
      <c r="DD51" s="155">
        <f t="shared" si="32"/>
        <v>10990</v>
      </c>
      <c r="DE51" s="155">
        <f t="shared" si="33"/>
        <v>102383</v>
      </c>
      <c r="DF51" s="155">
        <f t="shared" si="34"/>
        <v>0</v>
      </c>
      <c r="DG51" s="155">
        <f t="shared" si="35"/>
        <v>0</v>
      </c>
      <c r="DH51" s="155">
        <f t="shared" si="36"/>
        <v>30</v>
      </c>
      <c r="DI51" s="179">
        <v>0</v>
      </c>
      <c r="DJ51" s="179">
        <v>0</v>
      </c>
      <c r="DK51" s="155">
        <f t="shared" si="37"/>
        <v>370.4</v>
      </c>
      <c r="DL51" s="180">
        <v>0</v>
      </c>
      <c r="DM51" s="181">
        <f t="shared" si="38"/>
        <v>9.6722615096710693E-2</v>
      </c>
      <c r="DN51" s="182"/>
      <c r="DO51" s="183">
        <f t="shared" si="39"/>
        <v>106093</v>
      </c>
      <c r="DP51" s="184">
        <f t="shared" si="40"/>
        <v>11360.4</v>
      </c>
    </row>
    <row r="52" spans="1:120">
      <c r="A52" s="146"/>
      <c r="B52" s="318">
        <f t="shared" si="41"/>
        <v>44136</v>
      </c>
      <c r="C52" s="150">
        <v>39210</v>
      </c>
      <c r="D52" s="147">
        <v>1000</v>
      </c>
      <c r="E52" s="148">
        <v>17070</v>
      </c>
      <c r="F52" s="149"/>
      <c r="G52" s="148"/>
      <c r="H52" s="150"/>
      <c r="I52" s="147"/>
      <c r="J52" s="150"/>
      <c r="K52" s="150"/>
      <c r="L52" s="150">
        <v>475</v>
      </c>
      <c r="M52" s="147">
        <v>2250</v>
      </c>
      <c r="N52" s="151"/>
      <c r="O52" s="149">
        <v>15405</v>
      </c>
      <c r="P52" s="152">
        <v>1050</v>
      </c>
      <c r="Q52" s="152"/>
      <c r="R52" s="151"/>
      <c r="S52" s="152"/>
      <c r="T52" s="151">
        <v>100</v>
      </c>
      <c r="U52" s="153"/>
      <c r="V52" s="154"/>
      <c r="W52" s="155">
        <v>320</v>
      </c>
      <c r="X52" s="156"/>
      <c r="Y52" s="152">
        <v>600</v>
      </c>
      <c r="Z52" s="152"/>
      <c r="AA52" s="153"/>
      <c r="AB52" s="154"/>
      <c r="AC52" s="153">
        <v>7560</v>
      </c>
      <c r="AD52" s="154"/>
      <c r="AE52" s="151">
        <v>4000</v>
      </c>
      <c r="AF52" s="151"/>
      <c r="AG52" s="155"/>
      <c r="AH52" s="153"/>
      <c r="AI52" s="154"/>
      <c r="AJ52" s="157"/>
      <c r="AK52" s="158">
        <v>2000</v>
      </c>
      <c r="AL52" s="158"/>
      <c r="AM52" s="158">
        <v>220</v>
      </c>
      <c r="AN52" s="159"/>
      <c r="AO52" s="160">
        <f t="shared" si="20"/>
        <v>91040</v>
      </c>
      <c r="AP52" s="161"/>
      <c r="AQ52" s="161">
        <f t="shared" si="21"/>
        <v>220</v>
      </c>
      <c r="AR52" s="161">
        <f t="shared" si="22"/>
        <v>0</v>
      </c>
      <c r="AS52" s="162">
        <v>120737</v>
      </c>
      <c r="AT52" s="163">
        <f t="shared" si="23"/>
        <v>1.3230002191540653</v>
      </c>
      <c r="AU52" s="164">
        <v>1860</v>
      </c>
      <c r="AV52" s="165">
        <v>9450</v>
      </c>
      <c r="AW52" s="152"/>
      <c r="AX52" s="156">
        <v>5250</v>
      </c>
      <c r="AY52" s="156"/>
      <c r="AZ52" s="156">
        <v>80</v>
      </c>
      <c r="BA52" s="166">
        <v>160</v>
      </c>
      <c r="BB52" s="167">
        <f t="shared" si="24"/>
        <v>16800</v>
      </c>
      <c r="BC52" s="168">
        <v>240</v>
      </c>
      <c r="BD52" s="167">
        <f t="shared" si="25"/>
        <v>240</v>
      </c>
      <c r="BE52" s="169"/>
      <c r="BF52" s="170">
        <v>1000</v>
      </c>
      <c r="BG52" s="171">
        <v>1000</v>
      </c>
      <c r="BH52" s="171">
        <v>1725</v>
      </c>
      <c r="BI52" s="172">
        <v>1000</v>
      </c>
      <c r="BJ52" s="173">
        <f t="shared" si="26"/>
        <v>4725</v>
      </c>
      <c r="BK52" s="169"/>
      <c r="BL52" s="171">
        <v>2100</v>
      </c>
      <c r="BM52" s="171">
        <v>3200</v>
      </c>
      <c r="BN52" s="171"/>
      <c r="BO52" s="171"/>
      <c r="BP52" s="174">
        <v>1600</v>
      </c>
      <c r="BQ52" s="172"/>
      <c r="BR52" s="175">
        <f t="shared" si="27"/>
        <v>6900</v>
      </c>
      <c r="BS52" s="164">
        <v>220</v>
      </c>
      <c r="BT52" s="165">
        <v>120</v>
      </c>
      <c r="BU52" s="165"/>
      <c r="BV52" s="165"/>
      <c r="BW52" s="165">
        <v>140</v>
      </c>
      <c r="BX52" s="165">
        <v>660</v>
      </c>
      <c r="BY52" s="152">
        <v>1100</v>
      </c>
      <c r="BZ52" s="152">
        <v>20</v>
      </c>
      <c r="CA52" s="152"/>
      <c r="CB52" s="152"/>
      <c r="CC52" s="165"/>
      <c r="CD52" s="152"/>
      <c r="CE52" s="165"/>
      <c r="CF52" s="152"/>
      <c r="CG52" s="152"/>
      <c r="CH52" s="152"/>
      <c r="CI52" s="152"/>
      <c r="CJ52" s="152"/>
      <c r="CK52" s="152">
        <v>740</v>
      </c>
      <c r="CL52" s="166">
        <v>300</v>
      </c>
      <c r="CM52" s="176">
        <f t="shared" si="28"/>
        <v>3300</v>
      </c>
      <c r="CN52" s="177"/>
      <c r="CO52" s="152"/>
      <c r="CP52" s="152"/>
      <c r="CQ52" s="152"/>
      <c r="CR52" s="152"/>
      <c r="CS52" s="152">
        <v>20</v>
      </c>
      <c r="CT52" s="152"/>
      <c r="CU52" s="152">
        <v>10</v>
      </c>
      <c r="CV52" s="152"/>
      <c r="CW52" s="152"/>
      <c r="CX52" s="152"/>
      <c r="CY52" s="152"/>
      <c r="CZ52" s="166"/>
      <c r="DA52" s="175">
        <f t="shared" si="29"/>
        <v>30</v>
      </c>
      <c r="DB52" s="186">
        <f t="shared" si="30"/>
        <v>3300</v>
      </c>
      <c r="DC52" s="187">
        <f t="shared" si="31"/>
        <v>0</v>
      </c>
      <c r="DD52" s="187">
        <f t="shared" si="32"/>
        <v>11625</v>
      </c>
      <c r="DE52" s="187">
        <f t="shared" si="33"/>
        <v>96080</v>
      </c>
      <c r="DF52" s="187">
        <f t="shared" si="34"/>
        <v>0</v>
      </c>
      <c r="DG52" s="187">
        <f t="shared" si="35"/>
        <v>0</v>
      </c>
      <c r="DH52" s="187">
        <f t="shared" si="36"/>
        <v>30</v>
      </c>
      <c r="DI52" s="188">
        <v>0</v>
      </c>
      <c r="DJ52" s="188">
        <v>0</v>
      </c>
      <c r="DK52" s="187">
        <f t="shared" si="37"/>
        <v>292</v>
      </c>
      <c r="DL52" s="189">
        <v>0</v>
      </c>
      <c r="DM52" s="190">
        <f t="shared" si="38"/>
        <v>0.10704501154257279</v>
      </c>
      <c r="DN52" s="182"/>
      <c r="DO52" s="183">
        <f t="shared" si="39"/>
        <v>99410</v>
      </c>
      <c r="DP52" s="184">
        <f t="shared" si="40"/>
        <v>11917</v>
      </c>
    </row>
    <row r="53" spans="1:120">
      <c r="A53" s="146"/>
      <c r="B53" s="318">
        <f t="shared" si="41"/>
        <v>44166</v>
      </c>
      <c r="C53" s="150">
        <v>37005</v>
      </c>
      <c r="D53" s="147">
        <v>2500</v>
      </c>
      <c r="E53" s="148">
        <v>20730</v>
      </c>
      <c r="F53" s="149"/>
      <c r="G53" s="148"/>
      <c r="H53" s="150"/>
      <c r="I53" s="147">
        <v>120</v>
      </c>
      <c r="J53" s="150"/>
      <c r="K53" s="150"/>
      <c r="L53" s="150">
        <v>1025</v>
      </c>
      <c r="M53" s="147">
        <v>2775</v>
      </c>
      <c r="N53" s="151"/>
      <c r="O53" s="149">
        <v>12420</v>
      </c>
      <c r="P53" s="152">
        <v>2350</v>
      </c>
      <c r="Q53" s="152"/>
      <c r="R53" s="151"/>
      <c r="S53" s="152"/>
      <c r="T53" s="151">
        <v>100</v>
      </c>
      <c r="U53" s="153"/>
      <c r="V53" s="154"/>
      <c r="W53" s="155"/>
      <c r="X53" s="156"/>
      <c r="Y53" s="152">
        <v>850</v>
      </c>
      <c r="Z53" s="152"/>
      <c r="AA53" s="153"/>
      <c r="AB53" s="154"/>
      <c r="AC53" s="153">
        <v>7560</v>
      </c>
      <c r="AD53" s="154">
        <v>1000</v>
      </c>
      <c r="AE53" s="151">
        <v>2000</v>
      </c>
      <c r="AF53" s="151"/>
      <c r="AG53" s="155"/>
      <c r="AH53" s="153"/>
      <c r="AI53" s="154"/>
      <c r="AJ53" s="157"/>
      <c r="AK53" s="158"/>
      <c r="AL53" s="158"/>
      <c r="AM53" s="158"/>
      <c r="AN53" s="159"/>
      <c r="AO53" s="160">
        <f t="shared" si="20"/>
        <v>90435</v>
      </c>
      <c r="AP53" s="161"/>
      <c r="AQ53" s="161">
        <f t="shared" si="21"/>
        <v>0</v>
      </c>
      <c r="AR53" s="161">
        <f t="shared" si="22"/>
        <v>0</v>
      </c>
      <c r="AS53" s="162">
        <v>127378</v>
      </c>
      <c r="AT53" s="163">
        <f t="shared" si="23"/>
        <v>1.4085033449438824</v>
      </c>
      <c r="AU53" s="164">
        <v>1800</v>
      </c>
      <c r="AV53" s="165">
        <v>8370</v>
      </c>
      <c r="AW53" s="152">
        <v>150</v>
      </c>
      <c r="AX53" s="156">
        <v>3600</v>
      </c>
      <c r="AY53" s="156">
        <v>500</v>
      </c>
      <c r="AZ53" s="156"/>
      <c r="BA53" s="166">
        <v>640</v>
      </c>
      <c r="BB53" s="167">
        <f t="shared" si="24"/>
        <v>15060</v>
      </c>
      <c r="BC53" s="168"/>
      <c r="BD53" s="167">
        <f t="shared" si="25"/>
        <v>0</v>
      </c>
      <c r="BE53" s="169">
        <v>525</v>
      </c>
      <c r="BF53" s="170">
        <v>1000</v>
      </c>
      <c r="BG53" s="171"/>
      <c r="BH53" s="171">
        <v>1625</v>
      </c>
      <c r="BI53" s="172"/>
      <c r="BJ53" s="173">
        <f t="shared" si="26"/>
        <v>3150</v>
      </c>
      <c r="BK53" s="169"/>
      <c r="BL53" s="171">
        <v>2960</v>
      </c>
      <c r="BM53" s="171">
        <v>2400</v>
      </c>
      <c r="BN53" s="171"/>
      <c r="BO53" s="171"/>
      <c r="BP53" s="174">
        <v>1600</v>
      </c>
      <c r="BQ53" s="172">
        <v>480</v>
      </c>
      <c r="BR53" s="175">
        <f t="shared" si="27"/>
        <v>7440</v>
      </c>
      <c r="BS53" s="164">
        <v>20</v>
      </c>
      <c r="BT53" s="165">
        <v>40</v>
      </c>
      <c r="BU53" s="165"/>
      <c r="BV53" s="165"/>
      <c r="BW53" s="165"/>
      <c r="BX53" s="165">
        <v>540</v>
      </c>
      <c r="BY53" s="152">
        <v>1040</v>
      </c>
      <c r="BZ53" s="152"/>
      <c r="CA53" s="152"/>
      <c r="CB53" s="152"/>
      <c r="CC53" s="165"/>
      <c r="CD53" s="152">
        <v>40</v>
      </c>
      <c r="CE53" s="165"/>
      <c r="CF53" s="152"/>
      <c r="CG53" s="152"/>
      <c r="CH53" s="152"/>
      <c r="CI53" s="152">
        <v>100</v>
      </c>
      <c r="CJ53" s="152"/>
      <c r="CK53" s="152">
        <v>400</v>
      </c>
      <c r="CL53" s="166"/>
      <c r="CM53" s="176">
        <f t="shared" si="28"/>
        <v>2180</v>
      </c>
      <c r="CN53" s="177"/>
      <c r="CO53" s="152"/>
      <c r="CP53" s="152"/>
      <c r="CQ53" s="152"/>
      <c r="CR53" s="152"/>
      <c r="CS53" s="152"/>
      <c r="CT53" s="152"/>
      <c r="CU53" s="152"/>
      <c r="CV53" s="152">
        <v>20</v>
      </c>
      <c r="CW53" s="152"/>
      <c r="CX53" s="152">
        <v>40</v>
      </c>
      <c r="CY53" s="152"/>
      <c r="CZ53" s="166"/>
      <c r="DA53" s="175">
        <f t="shared" si="29"/>
        <v>60</v>
      </c>
      <c r="DB53" s="178">
        <f t="shared" si="30"/>
        <v>2180</v>
      </c>
      <c r="DC53" s="155">
        <f t="shared" si="31"/>
        <v>0</v>
      </c>
      <c r="DD53" s="155">
        <f t="shared" si="32"/>
        <v>10590</v>
      </c>
      <c r="DE53" s="155">
        <f t="shared" si="33"/>
        <v>94953</v>
      </c>
      <c r="DF53" s="155">
        <f t="shared" si="34"/>
        <v>0</v>
      </c>
      <c r="DG53" s="155">
        <f t="shared" si="35"/>
        <v>0</v>
      </c>
      <c r="DH53" s="155">
        <f t="shared" si="36"/>
        <v>60</v>
      </c>
      <c r="DI53" s="179">
        <v>0</v>
      </c>
      <c r="DJ53" s="179">
        <v>0</v>
      </c>
      <c r="DK53" s="155">
        <f t="shared" si="37"/>
        <v>0</v>
      </c>
      <c r="DL53" s="180">
        <v>0</v>
      </c>
      <c r="DM53" s="181">
        <f t="shared" si="38"/>
        <v>9.8252971247784898E-2</v>
      </c>
      <c r="DN53" s="182"/>
      <c r="DO53" s="183">
        <f t="shared" si="39"/>
        <v>97193</v>
      </c>
      <c r="DP53" s="184">
        <f t="shared" si="40"/>
        <v>10590</v>
      </c>
    </row>
    <row r="54" spans="1:120">
      <c r="A54" s="146"/>
      <c r="B54" s="318">
        <f t="shared" si="41"/>
        <v>44197</v>
      </c>
      <c r="C54" s="150">
        <v>34560</v>
      </c>
      <c r="D54" s="147">
        <v>2000</v>
      </c>
      <c r="E54" s="148">
        <v>16470</v>
      </c>
      <c r="F54" s="149"/>
      <c r="G54" s="148"/>
      <c r="H54" s="150"/>
      <c r="I54" s="147">
        <v>240</v>
      </c>
      <c r="J54" s="150">
        <v>125</v>
      </c>
      <c r="K54" s="150"/>
      <c r="L54" s="150">
        <v>775</v>
      </c>
      <c r="M54" s="147">
        <v>2220</v>
      </c>
      <c r="N54" s="151"/>
      <c r="O54" s="149">
        <v>12660</v>
      </c>
      <c r="P54" s="152">
        <v>2975</v>
      </c>
      <c r="Q54" s="152"/>
      <c r="R54" s="151"/>
      <c r="S54" s="152">
        <v>100</v>
      </c>
      <c r="T54" s="151">
        <v>140</v>
      </c>
      <c r="U54" s="153"/>
      <c r="V54" s="154"/>
      <c r="W54" s="155"/>
      <c r="X54" s="156"/>
      <c r="Y54" s="152">
        <v>575</v>
      </c>
      <c r="Z54" s="152"/>
      <c r="AA54" s="153"/>
      <c r="AB54" s="154"/>
      <c r="AC54" s="153">
        <v>5040</v>
      </c>
      <c r="AD54" s="154"/>
      <c r="AE54" s="151"/>
      <c r="AF54" s="151"/>
      <c r="AG54" s="155"/>
      <c r="AH54" s="153"/>
      <c r="AI54" s="154"/>
      <c r="AJ54" s="157"/>
      <c r="AK54" s="158"/>
      <c r="AL54" s="158"/>
      <c r="AM54" s="158"/>
      <c r="AN54" s="159"/>
      <c r="AO54" s="160">
        <f t="shared" si="20"/>
        <v>77880</v>
      </c>
      <c r="AP54" s="161"/>
      <c r="AQ54" s="161">
        <f t="shared" si="21"/>
        <v>0</v>
      </c>
      <c r="AR54" s="161">
        <f t="shared" si="22"/>
        <v>0</v>
      </c>
      <c r="AS54" s="162">
        <v>112237</v>
      </c>
      <c r="AT54" s="163">
        <f t="shared" si="23"/>
        <v>1.4411530559835644</v>
      </c>
      <c r="AU54" s="164">
        <v>3120</v>
      </c>
      <c r="AV54" s="165">
        <v>8880</v>
      </c>
      <c r="AW54" s="152">
        <v>180</v>
      </c>
      <c r="AX54" s="156">
        <v>5000</v>
      </c>
      <c r="AY54" s="156">
        <v>250</v>
      </c>
      <c r="AZ54" s="156">
        <v>120</v>
      </c>
      <c r="BA54" s="166">
        <v>240</v>
      </c>
      <c r="BB54" s="167">
        <f t="shared" si="24"/>
        <v>17790</v>
      </c>
      <c r="BC54" s="168"/>
      <c r="BD54" s="167">
        <f t="shared" si="25"/>
        <v>0</v>
      </c>
      <c r="BE54" s="169">
        <v>350</v>
      </c>
      <c r="BF54" s="170"/>
      <c r="BG54" s="171"/>
      <c r="BH54" s="171">
        <v>2825</v>
      </c>
      <c r="BI54" s="172"/>
      <c r="BJ54" s="173">
        <f t="shared" si="26"/>
        <v>3175</v>
      </c>
      <c r="BK54" s="169"/>
      <c r="BL54" s="171">
        <v>2820</v>
      </c>
      <c r="BM54" s="171">
        <v>1600</v>
      </c>
      <c r="BN54" s="171"/>
      <c r="BO54" s="171"/>
      <c r="BP54" s="174"/>
      <c r="BQ54" s="172">
        <v>400</v>
      </c>
      <c r="BR54" s="175">
        <f t="shared" si="27"/>
        <v>4820</v>
      </c>
      <c r="BS54" s="164"/>
      <c r="BT54" s="165">
        <v>20</v>
      </c>
      <c r="BU54" s="165"/>
      <c r="BV54" s="165">
        <v>20</v>
      </c>
      <c r="BW54" s="165">
        <v>80</v>
      </c>
      <c r="BX54" s="165">
        <v>740</v>
      </c>
      <c r="BY54" s="152">
        <v>1060</v>
      </c>
      <c r="BZ54" s="152">
        <v>60</v>
      </c>
      <c r="CA54" s="152"/>
      <c r="CB54" s="152"/>
      <c r="CC54" s="165"/>
      <c r="CD54" s="152"/>
      <c r="CE54" s="165"/>
      <c r="CF54" s="152"/>
      <c r="CG54" s="152"/>
      <c r="CH54" s="152"/>
      <c r="CI54" s="152"/>
      <c r="CJ54" s="152"/>
      <c r="CK54" s="152">
        <v>360</v>
      </c>
      <c r="CL54" s="166"/>
      <c r="CM54" s="176">
        <f t="shared" si="28"/>
        <v>2340</v>
      </c>
      <c r="CN54" s="177"/>
      <c r="CO54" s="152">
        <v>75</v>
      </c>
      <c r="CP54" s="152">
        <v>50</v>
      </c>
      <c r="CQ54" s="152"/>
      <c r="CR54" s="152">
        <v>100</v>
      </c>
      <c r="CS54" s="152"/>
      <c r="CT54" s="152">
        <v>100</v>
      </c>
      <c r="CU54" s="152"/>
      <c r="CV54" s="152"/>
      <c r="CW54" s="152"/>
      <c r="CX54" s="152"/>
      <c r="CY54" s="152"/>
      <c r="CZ54" s="166"/>
      <c r="DA54" s="175">
        <f t="shared" si="29"/>
        <v>325</v>
      </c>
      <c r="DB54" s="186">
        <f t="shared" si="30"/>
        <v>2340</v>
      </c>
      <c r="DC54" s="187">
        <f t="shared" si="31"/>
        <v>0</v>
      </c>
      <c r="DD54" s="187">
        <f t="shared" si="32"/>
        <v>7995</v>
      </c>
      <c r="DE54" s="187">
        <f t="shared" si="33"/>
        <v>83217</v>
      </c>
      <c r="DF54" s="187">
        <f t="shared" si="34"/>
        <v>0</v>
      </c>
      <c r="DG54" s="187">
        <f t="shared" si="35"/>
        <v>0</v>
      </c>
      <c r="DH54" s="187">
        <f t="shared" si="36"/>
        <v>325</v>
      </c>
      <c r="DI54" s="188">
        <v>0</v>
      </c>
      <c r="DJ54" s="188">
        <v>0</v>
      </c>
      <c r="DK54" s="187">
        <f t="shared" si="37"/>
        <v>0</v>
      </c>
      <c r="DL54" s="189">
        <v>0</v>
      </c>
      <c r="DM54" s="190">
        <f t="shared" si="38"/>
        <v>8.5164630314134446E-2</v>
      </c>
      <c r="DN54" s="182"/>
      <c r="DO54" s="183">
        <f t="shared" si="39"/>
        <v>85882</v>
      </c>
      <c r="DP54" s="184">
        <f t="shared" si="40"/>
        <v>7995</v>
      </c>
    </row>
    <row r="55" spans="1:120">
      <c r="A55" s="146"/>
      <c r="B55" s="318">
        <f t="shared" si="41"/>
        <v>44228</v>
      </c>
      <c r="C55" s="150">
        <v>31875</v>
      </c>
      <c r="D55" s="147">
        <v>3000</v>
      </c>
      <c r="E55" s="148">
        <v>17550</v>
      </c>
      <c r="F55" s="149"/>
      <c r="G55" s="148"/>
      <c r="H55" s="150"/>
      <c r="I55" s="147"/>
      <c r="J55" s="150"/>
      <c r="K55" s="150"/>
      <c r="L55" s="150">
        <v>575</v>
      </c>
      <c r="M55" s="147">
        <v>3180</v>
      </c>
      <c r="N55" s="151"/>
      <c r="O55" s="149">
        <v>13740</v>
      </c>
      <c r="P55" s="152">
        <v>5475</v>
      </c>
      <c r="Q55" s="152"/>
      <c r="R55" s="151"/>
      <c r="S55" s="152"/>
      <c r="T55" s="151">
        <v>60</v>
      </c>
      <c r="U55" s="153"/>
      <c r="V55" s="154"/>
      <c r="W55" s="155">
        <v>280</v>
      </c>
      <c r="X55" s="156"/>
      <c r="Y55" s="152">
        <v>425</v>
      </c>
      <c r="Z55" s="152"/>
      <c r="AA55" s="153"/>
      <c r="AB55" s="154"/>
      <c r="AC55" s="153">
        <v>6300</v>
      </c>
      <c r="AD55" s="154"/>
      <c r="AE55" s="151">
        <v>4000</v>
      </c>
      <c r="AF55" s="151"/>
      <c r="AG55" s="155"/>
      <c r="AH55" s="153"/>
      <c r="AI55" s="154"/>
      <c r="AJ55" s="157"/>
      <c r="AK55" s="158"/>
      <c r="AL55" s="158"/>
      <c r="AM55" s="158">
        <v>340</v>
      </c>
      <c r="AN55" s="159"/>
      <c r="AO55" s="160">
        <f t="shared" si="20"/>
        <v>86460</v>
      </c>
      <c r="AP55" s="161"/>
      <c r="AQ55" s="161">
        <f t="shared" si="21"/>
        <v>340</v>
      </c>
      <c r="AR55" s="161">
        <f t="shared" si="22"/>
        <v>0</v>
      </c>
      <c r="AS55" s="162">
        <v>121156</v>
      </c>
      <c r="AT55" s="163">
        <f t="shared" si="23"/>
        <v>1.3958064516129032</v>
      </c>
      <c r="AU55" s="164">
        <v>1140</v>
      </c>
      <c r="AV55" s="165">
        <v>6510</v>
      </c>
      <c r="AW55" s="152">
        <v>240</v>
      </c>
      <c r="AX55" s="156">
        <v>4250</v>
      </c>
      <c r="AY55" s="156">
        <v>900</v>
      </c>
      <c r="AZ55" s="156">
        <v>80</v>
      </c>
      <c r="BA55" s="166">
        <v>560</v>
      </c>
      <c r="BB55" s="167">
        <f t="shared" si="24"/>
        <v>13680</v>
      </c>
      <c r="BC55" s="168">
        <v>180</v>
      </c>
      <c r="BD55" s="167">
        <f t="shared" si="25"/>
        <v>180</v>
      </c>
      <c r="BE55" s="169">
        <v>550</v>
      </c>
      <c r="BF55" s="170">
        <v>1500</v>
      </c>
      <c r="BG55" s="171">
        <v>1000</v>
      </c>
      <c r="BH55" s="171">
        <v>750</v>
      </c>
      <c r="BI55" s="172"/>
      <c r="BJ55" s="173">
        <f t="shared" si="26"/>
        <v>3800</v>
      </c>
      <c r="BK55" s="169"/>
      <c r="BL55" s="171">
        <v>2780</v>
      </c>
      <c r="BM55" s="171">
        <v>2400</v>
      </c>
      <c r="BN55" s="171"/>
      <c r="BO55" s="171"/>
      <c r="BP55" s="174">
        <v>1600</v>
      </c>
      <c r="BQ55" s="172">
        <v>780</v>
      </c>
      <c r="BR55" s="175">
        <f t="shared" si="27"/>
        <v>7560</v>
      </c>
      <c r="BS55" s="164">
        <v>120</v>
      </c>
      <c r="BT55" s="165"/>
      <c r="BU55" s="165"/>
      <c r="BV55" s="165">
        <v>20</v>
      </c>
      <c r="BW55" s="165">
        <v>40</v>
      </c>
      <c r="BX55" s="165">
        <v>740</v>
      </c>
      <c r="BY55" s="152">
        <v>1060</v>
      </c>
      <c r="BZ55" s="152"/>
      <c r="CA55" s="152"/>
      <c r="CB55" s="152"/>
      <c r="CC55" s="165"/>
      <c r="CD55" s="152"/>
      <c r="CE55" s="165"/>
      <c r="CF55" s="152"/>
      <c r="CG55" s="152"/>
      <c r="CH55" s="152"/>
      <c r="CI55" s="152"/>
      <c r="CJ55" s="152"/>
      <c r="CK55" s="152">
        <v>1020</v>
      </c>
      <c r="CL55" s="166">
        <v>360</v>
      </c>
      <c r="CM55" s="176">
        <f t="shared" si="28"/>
        <v>3360</v>
      </c>
      <c r="CN55" s="177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66"/>
      <c r="DA55" s="175">
        <f t="shared" si="29"/>
        <v>0</v>
      </c>
      <c r="DB55" s="178">
        <f t="shared" si="30"/>
        <v>3360</v>
      </c>
      <c r="DC55" s="155">
        <f t="shared" si="31"/>
        <v>0</v>
      </c>
      <c r="DD55" s="155">
        <f t="shared" si="32"/>
        <v>11360</v>
      </c>
      <c r="DE55" s="155">
        <f t="shared" si="33"/>
        <v>90564</v>
      </c>
      <c r="DF55" s="155">
        <f t="shared" si="34"/>
        <v>0</v>
      </c>
      <c r="DG55" s="155">
        <f t="shared" si="35"/>
        <v>0</v>
      </c>
      <c r="DH55" s="155">
        <f t="shared" si="36"/>
        <v>0</v>
      </c>
      <c r="DI55" s="179">
        <v>0</v>
      </c>
      <c r="DJ55" s="179">
        <v>0</v>
      </c>
      <c r="DK55" s="155">
        <f t="shared" si="37"/>
        <v>394</v>
      </c>
      <c r="DL55" s="180">
        <v>0</v>
      </c>
      <c r="DM55" s="181">
        <f t="shared" si="38"/>
        <v>0.11122466360074945</v>
      </c>
      <c r="DN55" s="180"/>
      <c r="DO55" s="183">
        <f t="shared" si="39"/>
        <v>93924</v>
      </c>
      <c r="DP55" s="184">
        <f t="shared" si="40"/>
        <v>11754</v>
      </c>
    </row>
    <row r="56" spans="1:120" ht="16.5" thickBot="1">
      <c r="A56" s="185"/>
      <c r="B56" s="319">
        <f t="shared" si="41"/>
        <v>44256</v>
      </c>
      <c r="C56" s="204">
        <v>35715</v>
      </c>
      <c r="D56" s="201">
        <v>500</v>
      </c>
      <c r="E56" s="202">
        <v>16380</v>
      </c>
      <c r="F56" s="203"/>
      <c r="G56" s="202"/>
      <c r="H56" s="204"/>
      <c r="I56" s="201"/>
      <c r="J56" s="204"/>
      <c r="K56" s="204"/>
      <c r="L56" s="204">
        <v>550</v>
      </c>
      <c r="M56" s="201">
        <v>2790</v>
      </c>
      <c r="N56" s="205">
        <v>510</v>
      </c>
      <c r="O56" s="203">
        <v>12360</v>
      </c>
      <c r="P56" s="206">
        <v>6225</v>
      </c>
      <c r="Q56" s="206"/>
      <c r="R56" s="205"/>
      <c r="S56" s="206"/>
      <c r="T56" s="205">
        <v>40</v>
      </c>
      <c r="U56" s="207"/>
      <c r="V56" s="208"/>
      <c r="W56" s="209">
        <v>240</v>
      </c>
      <c r="X56" s="210"/>
      <c r="Y56" s="206">
        <v>275</v>
      </c>
      <c r="Z56" s="206"/>
      <c r="AA56" s="207"/>
      <c r="AB56" s="208"/>
      <c r="AC56" s="207">
        <v>8820</v>
      </c>
      <c r="AD56" s="208"/>
      <c r="AE56" s="205">
        <v>2000</v>
      </c>
      <c r="AF56" s="205"/>
      <c r="AG56" s="209"/>
      <c r="AH56" s="207"/>
      <c r="AI56" s="208"/>
      <c r="AJ56" s="211"/>
      <c r="AK56" s="212"/>
      <c r="AL56" s="212"/>
      <c r="AM56" s="212">
        <v>320</v>
      </c>
      <c r="AN56" s="213"/>
      <c r="AO56" s="214">
        <f t="shared" si="20"/>
        <v>85895</v>
      </c>
      <c r="AP56" s="215"/>
      <c r="AQ56" s="215">
        <f t="shared" si="21"/>
        <v>320</v>
      </c>
      <c r="AR56" s="215">
        <f t="shared" si="22"/>
        <v>510</v>
      </c>
      <c r="AS56" s="216">
        <v>141551</v>
      </c>
      <c r="AT56" s="217">
        <f t="shared" si="23"/>
        <v>1.6321821850677429</v>
      </c>
      <c r="AU56" s="218">
        <v>2820</v>
      </c>
      <c r="AV56" s="219">
        <v>11670</v>
      </c>
      <c r="AW56" s="206"/>
      <c r="AX56" s="210">
        <v>3000</v>
      </c>
      <c r="AY56" s="210">
        <v>450</v>
      </c>
      <c r="AZ56" s="210"/>
      <c r="BA56" s="220">
        <v>160</v>
      </c>
      <c r="BB56" s="221">
        <f t="shared" si="24"/>
        <v>18100</v>
      </c>
      <c r="BC56" s="222">
        <v>240</v>
      </c>
      <c r="BD56" s="221">
        <f t="shared" si="25"/>
        <v>240</v>
      </c>
      <c r="BE56" s="223">
        <v>750</v>
      </c>
      <c r="BF56" s="224">
        <v>500</v>
      </c>
      <c r="BG56" s="225"/>
      <c r="BH56" s="225">
        <v>1525</v>
      </c>
      <c r="BI56" s="226"/>
      <c r="BJ56" s="227">
        <f t="shared" si="26"/>
        <v>2775</v>
      </c>
      <c r="BK56" s="223"/>
      <c r="BL56" s="225">
        <v>1300</v>
      </c>
      <c r="BM56" s="225">
        <v>800</v>
      </c>
      <c r="BN56" s="225"/>
      <c r="BO56" s="225"/>
      <c r="BP56" s="228">
        <v>800</v>
      </c>
      <c r="BQ56" s="226">
        <v>860</v>
      </c>
      <c r="BR56" s="229">
        <f t="shared" si="27"/>
        <v>3760</v>
      </c>
      <c r="BS56" s="218">
        <v>80</v>
      </c>
      <c r="BT56" s="219">
        <v>300</v>
      </c>
      <c r="BU56" s="219"/>
      <c r="BV56" s="219">
        <v>40</v>
      </c>
      <c r="BW56" s="219">
        <v>20</v>
      </c>
      <c r="BX56" s="219">
        <v>520</v>
      </c>
      <c r="BY56" s="206">
        <v>880</v>
      </c>
      <c r="BZ56" s="206">
        <v>20</v>
      </c>
      <c r="CA56" s="206"/>
      <c r="CB56" s="206"/>
      <c r="CC56" s="219"/>
      <c r="CD56" s="206">
        <v>100</v>
      </c>
      <c r="CE56" s="219"/>
      <c r="CF56" s="206"/>
      <c r="CG56" s="206"/>
      <c r="CH56" s="206">
        <v>20</v>
      </c>
      <c r="CI56" s="206"/>
      <c r="CJ56" s="206"/>
      <c r="CK56" s="206">
        <v>480</v>
      </c>
      <c r="CL56" s="220">
        <v>220</v>
      </c>
      <c r="CM56" s="230">
        <f t="shared" si="28"/>
        <v>2680</v>
      </c>
      <c r="CN56" s="231"/>
      <c r="CO56" s="206"/>
      <c r="CP56" s="206"/>
      <c r="CQ56" s="206"/>
      <c r="CR56" s="206"/>
      <c r="CS56" s="206"/>
      <c r="CT56" s="206"/>
      <c r="CU56" s="206"/>
      <c r="CV56" s="206"/>
      <c r="CW56" s="206"/>
      <c r="CX56" s="206"/>
      <c r="CY56" s="206"/>
      <c r="CZ56" s="220"/>
      <c r="DA56" s="229">
        <f t="shared" si="29"/>
        <v>0</v>
      </c>
      <c r="DB56" s="232">
        <f t="shared" si="30"/>
        <v>2680</v>
      </c>
      <c r="DC56" s="233">
        <f t="shared" si="31"/>
        <v>0</v>
      </c>
      <c r="DD56" s="233">
        <f t="shared" si="32"/>
        <v>6535</v>
      </c>
      <c r="DE56" s="233">
        <f t="shared" si="33"/>
        <v>91325</v>
      </c>
      <c r="DF56" s="233">
        <f t="shared" si="34"/>
        <v>0</v>
      </c>
      <c r="DG56" s="233">
        <f t="shared" si="35"/>
        <v>510</v>
      </c>
      <c r="DH56" s="233">
        <f t="shared" si="36"/>
        <v>0</v>
      </c>
      <c r="DI56" s="234">
        <v>0</v>
      </c>
      <c r="DJ56" s="234">
        <v>0</v>
      </c>
      <c r="DK56" s="233">
        <f t="shared" si="37"/>
        <v>392</v>
      </c>
      <c r="DL56" s="235">
        <v>0</v>
      </c>
      <c r="DM56" s="236">
        <f t="shared" si="38"/>
        <v>7.3312829005737268E-2</v>
      </c>
      <c r="DN56" s="237"/>
      <c r="DO56" s="238">
        <f t="shared" si="39"/>
        <v>94005</v>
      </c>
      <c r="DP56" s="239">
        <f t="shared" si="40"/>
        <v>7437</v>
      </c>
    </row>
    <row r="57" spans="1:120">
      <c r="A57" s="191">
        <f>A45+1</f>
        <v>2021</v>
      </c>
      <c r="B57" s="317">
        <f t="shared" si="41"/>
        <v>44287</v>
      </c>
      <c r="C57" s="109">
        <v>36060</v>
      </c>
      <c r="D57" s="106">
        <v>2000</v>
      </c>
      <c r="E57" s="107">
        <v>17370</v>
      </c>
      <c r="F57" s="111"/>
      <c r="G57" s="107"/>
      <c r="H57" s="109"/>
      <c r="I57" s="106"/>
      <c r="J57" s="109"/>
      <c r="K57" s="109"/>
      <c r="L57" s="109">
        <v>725</v>
      </c>
      <c r="M57" s="106">
        <v>2895</v>
      </c>
      <c r="N57" s="110">
        <v>630</v>
      </c>
      <c r="O57" s="111">
        <v>7845</v>
      </c>
      <c r="P57" s="112">
        <v>10675</v>
      </c>
      <c r="Q57" s="112"/>
      <c r="R57" s="110"/>
      <c r="S57" s="112"/>
      <c r="T57" s="110">
        <v>80</v>
      </c>
      <c r="U57" s="113"/>
      <c r="V57" s="114"/>
      <c r="W57" s="115">
        <v>200</v>
      </c>
      <c r="X57" s="116"/>
      <c r="Y57" s="112">
        <v>700</v>
      </c>
      <c r="Z57" s="112"/>
      <c r="AA57" s="113"/>
      <c r="AB57" s="114"/>
      <c r="AC57" s="113">
        <v>2520</v>
      </c>
      <c r="AD57" s="114"/>
      <c r="AE57" s="110">
        <v>2000</v>
      </c>
      <c r="AF57" s="110"/>
      <c r="AG57" s="115"/>
      <c r="AH57" s="113"/>
      <c r="AI57" s="114"/>
      <c r="AJ57" s="117"/>
      <c r="AK57" s="118">
        <v>1000</v>
      </c>
      <c r="AL57" s="118"/>
      <c r="AM57" s="118"/>
      <c r="AN57" s="119"/>
      <c r="AO57" s="120">
        <f t="shared" si="20"/>
        <v>84070</v>
      </c>
      <c r="AP57" s="121"/>
      <c r="AQ57" s="121">
        <f t="shared" si="21"/>
        <v>0</v>
      </c>
      <c r="AR57" s="121">
        <f t="shared" si="22"/>
        <v>630</v>
      </c>
      <c r="AS57" s="122">
        <v>131889</v>
      </c>
      <c r="AT57" s="123">
        <f t="shared" si="23"/>
        <v>1.5571310507674143</v>
      </c>
      <c r="AU57" s="124">
        <v>2280</v>
      </c>
      <c r="AV57" s="125">
        <v>9450</v>
      </c>
      <c r="AW57" s="112"/>
      <c r="AX57" s="116">
        <v>6150</v>
      </c>
      <c r="AY57" s="116">
        <v>850</v>
      </c>
      <c r="AZ57" s="116"/>
      <c r="BA57" s="126">
        <v>320</v>
      </c>
      <c r="BB57" s="127">
        <f t="shared" si="24"/>
        <v>19050</v>
      </c>
      <c r="BC57" s="128"/>
      <c r="BD57" s="127">
        <f t="shared" si="25"/>
        <v>0</v>
      </c>
      <c r="BE57" s="129">
        <v>925</v>
      </c>
      <c r="BF57" s="130"/>
      <c r="BG57" s="131"/>
      <c r="BH57" s="131">
        <v>1700</v>
      </c>
      <c r="BI57" s="132"/>
      <c r="BJ57" s="133">
        <f t="shared" si="26"/>
        <v>2625</v>
      </c>
      <c r="BK57" s="129"/>
      <c r="BL57" s="131">
        <v>2160</v>
      </c>
      <c r="BM57" s="131">
        <v>800</v>
      </c>
      <c r="BN57" s="131"/>
      <c r="BO57" s="131"/>
      <c r="BP57" s="134">
        <v>800</v>
      </c>
      <c r="BQ57" s="132">
        <v>1240</v>
      </c>
      <c r="BR57" s="135">
        <f t="shared" si="27"/>
        <v>5000</v>
      </c>
      <c r="BS57" s="124">
        <v>140</v>
      </c>
      <c r="BT57" s="125">
        <v>440</v>
      </c>
      <c r="BU57" s="125"/>
      <c r="BV57" s="125"/>
      <c r="BW57" s="125">
        <v>80</v>
      </c>
      <c r="BX57" s="125">
        <v>820</v>
      </c>
      <c r="BY57" s="112">
        <v>880</v>
      </c>
      <c r="BZ57" s="112"/>
      <c r="CA57" s="112"/>
      <c r="CB57" s="112"/>
      <c r="CC57" s="125"/>
      <c r="CD57" s="112"/>
      <c r="CE57" s="125"/>
      <c r="CF57" s="112"/>
      <c r="CG57" s="112"/>
      <c r="CH57" s="112"/>
      <c r="CI57" s="112"/>
      <c r="CJ57" s="112"/>
      <c r="CK57" s="112">
        <v>520</v>
      </c>
      <c r="CL57" s="126">
        <v>220</v>
      </c>
      <c r="CM57" s="136">
        <f t="shared" si="28"/>
        <v>3100</v>
      </c>
      <c r="CN57" s="137"/>
      <c r="CO57" s="112"/>
      <c r="CP57" s="112"/>
      <c r="CQ57" s="112"/>
      <c r="CR57" s="112"/>
      <c r="CS57" s="112"/>
      <c r="CT57" s="112"/>
      <c r="CU57" s="112"/>
      <c r="CV57" s="112"/>
      <c r="CW57" s="112"/>
      <c r="CX57" s="112"/>
      <c r="CY57" s="112"/>
      <c r="CZ57" s="126"/>
      <c r="DA57" s="135">
        <f t="shared" si="29"/>
        <v>0</v>
      </c>
      <c r="DB57" s="192">
        <f t="shared" si="30"/>
        <v>3100</v>
      </c>
      <c r="DC57" s="115">
        <f t="shared" si="31"/>
        <v>0</v>
      </c>
      <c r="DD57" s="115">
        <f t="shared" si="32"/>
        <v>7625</v>
      </c>
      <c r="DE57" s="115">
        <f t="shared" si="33"/>
        <v>89785</v>
      </c>
      <c r="DF57" s="115">
        <f t="shared" si="34"/>
        <v>0</v>
      </c>
      <c r="DG57" s="115">
        <f t="shared" si="35"/>
        <v>630</v>
      </c>
      <c r="DH57" s="115">
        <f t="shared" si="36"/>
        <v>0</v>
      </c>
      <c r="DI57" s="193">
        <v>0</v>
      </c>
      <c r="DJ57" s="193">
        <v>0</v>
      </c>
      <c r="DK57" s="115">
        <f t="shared" si="37"/>
        <v>0</v>
      </c>
      <c r="DL57" s="194">
        <v>0</v>
      </c>
      <c r="DM57" s="195">
        <f t="shared" si="38"/>
        <v>8.1619537275064269E-2</v>
      </c>
      <c r="DN57" s="143"/>
      <c r="DO57" s="144">
        <f t="shared" si="39"/>
        <v>92885</v>
      </c>
      <c r="DP57" s="145">
        <f t="shared" si="40"/>
        <v>8255</v>
      </c>
    </row>
    <row r="58" spans="1:120">
      <c r="A58" s="146"/>
      <c r="B58" s="318">
        <f t="shared" si="41"/>
        <v>44317</v>
      </c>
      <c r="C58" s="150">
        <v>26970</v>
      </c>
      <c r="D58" s="147">
        <v>2000</v>
      </c>
      <c r="E58" s="148">
        <v>15030</v>
      </c>
      <c r="F58" s="149"/>
      <c r="G58" s="148"/>
      <c r="H58" s="150"/>
      <c r="I58" s="147"/>
      <c r="J58" s="150"/>
      <c r="K58" s="150"/>
      <c r="L58" s="150">
        <v>975</v>
      </c>
      <c r="M58" s="147">
        <v>1890</v>
      </c>
      <c r="N58" s="151">
        <v>420</v>
      </c>
      <c r="O58" s="149">
        <v>7290</v>
      </c>
      <c r="P58" s="152">
        <v>9875</v>
      </c>
      <c r="Q58" s="152"/>
      <c r="R58" s="151"/>
      <c r="S58" s="152"/>
      <c r="T58" s="151">
        <v>200</v>
      </c>
      <c r="U58" s="153"/>
      <c r="V58" s="154"/>
      <c r="W58" s="155">
        <v>360</v>
      </c>
      <c r="X58" s="156"/>
      <c r="Y58" s="152">
        <v>900</v>
      </c>
      <c r="Z58" s="152"/>
      <c r="AA58" s="153"/>
      <c r="AB58" s="154"/>
      <c r="AC58" s="153">
        <v>5040</v>
      </c>
      <c r="AD58" s="154"/>
      <c r="AE58" s="151">
        <v>2000</v>
      </c>
      <c r="AF58" s="151"/>
      <c r="AG58" s="155"/>
      <c r="AH58" s="153"/>
      <c r="AI58" s="154"/>
      <c r="AJ58" s="157"/>
      <c r="AK58" s="158"/>
      <c r="AL58" s="158"/>
      <c r="AM58" s="158"/>
      <c r="AN58" s="159"/>
      <c r="AO58" s="160">
        <f t="shared" si="20"/>
        <v>72530</v>
      </c>
      <c r="AP58" s="161"/>
      <c r="AQ58" s="161">
        <f t="shared" si="21"/>
        <v>0</v>
      </c>
      <c r="AR58" s="161">
        <f t="shared" si="22"/>
        <v>420</v>
      </c>
      <c r="AS58" s="162">
        <v>109422</v>
      </c>
      <c r="AT58" s="163">
        <f t="shared" si="23"/>
        <v>1.4999588759424263</v>
      </c>
      <c r="AU58" s="164">
        <v>3780</v>
      </c>
      <c r="AV58" s="165">
        <v>7620</v>
      </c>
      <c r="AW58" s="152">
        <v>60</v>
      </c>
      <c r="AX58" s="156">
        <v>4500</v>
      </c>
      <c r="AY58" s="156">
        <v>100</v>
      </c>
      <c r="AZ58" s="156"/>
      <c r="BA58" s="166"/>
      <c r="BB58" s="167">
        <f t="shared" si="24"/>
        <v>16060</v>
      </c>
      <c r="BC58" s="168"/>
      <c r="BD58" s="167">
        <f t="shared" si="25"/>
        <v>0</v>
      </c>
      <c r="BE58" s="169">
        <v>725</v>
      </c>
      <c r="BF58" s="170">
        <v>1000</v>
      </c>
      <c r="BG58" s="171"/>
      <c r="BH58" s="171">
        <v>1350</v>
      </c>
      <c r="BI58" s="172"/>
      <c r="BJ58" s="173">
        <f t="shared" si="26"/>
        <v>3075</v>
      </c>
      <c r="BK58" s="169"/>
      <c r="BL58" s="171">
        <v>1700</v>
      </c>
      <c r="BM58" s="171">
        <v>800</v>
      </c>
      <c r="BN58" s="171"/>
      <c r="BO58" s="171"/>
      <c r="BP58" s="174">
        <v>800</v>
      </c>
      <c r="BQ58" s="172">
        <v>920</v>
      </c>
      <c r="BR58" s="175">
        <f t="shared" si="27"/>
        <v>4220</v>
      </c>
      <c r="BS58" s="164">
        <v>20</v>
      </c>
      <c r="BT58" s="165">
        <v>420</v>
      </c>
      <c r="BU58" s="165"/>
      <c r="BV58" s="165">
        <v>40</v>
      </c>
      <c r="BW58" s="165">
        <v>20</v>
      </c>
      <c r="BX58" s="165">
        <v>440</v>
      </c>
      <c r="BY58" s="152">
        <v>600</v>
      </c>
      <c r="BZ58" s="152">
        <v>40</v>
      </c>
      <c r="CA58" s="152"/>
      <c r="CB58" s="152"/>
      <c r="CC58" s="165"/>
      <c r="CD58" s="152"/>
      <c r="CE58" s="165"/>
      <c r="CF58" s="152"/>
      <c r="CG58" s="152"/>
      <c r="CH58" s="152"/>
      <c r="CI58" s="152">
        <v>200</v>
      </c>
      <c r="CJ58" s="152"/>
      <c r="CK58" s="152">
        <v>360</v>
      </c>
      <c r="CL58" s="166"/>
      <c r="CM58" s="176">
        <f t="shared" si="28"/>
        <v>2140</v>
      </c>
      <c r="CN58" s="177"/>
      <c r="CO58" s="152"/>
      <c r="CP58" s="152"/>
      <c r="CQ58" s="152"/>
      <c r="CR58" s="152"/>
      <c r="CS58" s="152"/>
      <c r="CT58" s="152">
        <v>100</v>
      </c>
      <c r="CU58" s="152"/>
      <c r="CV58" s="152"/>
      <c r="CW58" s="152"/>
      <c r="CX58" s="152"/>
      <c r="CY58" s="152"/>
      <c r="CZ58" s="166"/>
      <c r="DA58" s="175">
        <f t="shared" si="29"/>
        <v>100</v>
      </c>
      <c r="DB58" s="186">
        <f t="shared" si="30"/>
        <v>2140</v>
      </c>
      <c r="DC58" s="187">
        <f t="shared" si="31"/>
        <v>0</v>
      </c>
      <c r="DD58" s="187">
        <f t="shared" si="32"/>
        <v>7295</v>
      </c>
      <c r="DE58" s="187">
        <f t="shared" si="33"/>
        <v>77348</v>
      </c>
      <c r="DF58" s="187">
        <f t="shared" si="34"/>
        <v>0</v>
      </c>
      <c r="DG58" s="187">
        <f t="shared" si="35"/>
        <v>420</v>
      </c>
      <c r="DH58" s="187">
        <f t="shared" si="36"/>
        <v>100</v>
      </c>
      <c r="DI58" s="188">
        <v>0</v>
      </c>
      <c r="DJ58" s="188">
        <v>0</v>
      </c>
      <c r="DK58" s="187">
        <f t="shared" si="37"/>
        <v>0</v>
      </c>
      <c r="DL58" s="189">
        <v>0</v>
      </c>
      <c r="DM58" s="190">
        <f t="shared" si="38"/>
        <v>8.8370388188263857E-2</v>
      </c>
      <c r="DN58" s="182"/>
      <c r="DO58" s="183">
        <f t="shared" si="39"/>
        <v>79588</v>
      </c>
      <c r="DP58" s="184">
        <f t="shared" si="40"/>
        <v>7715</v>
      </c>
    </row>
    <row r="59" spans="1:120">
      <c r="A59" s="146"/>
      <c r="B59" s="318">
        <f t="shared" si="41"/>
        <v>44348</v>
      </c>
      <c r="C59" s="150">
        <v>33360</v>
      </c>
      <c r="D59" s="147">
        <v>2500</v>
      </c>
      <c r="E59" s="148">
        <v>15480</v>
      </c>
      <c r="F59" s="149"/>
      <c r="G59" s="148"/>
      <c r="H59" s="150"/>
      <c r="I59" s="147"/>
      <c r="J59" s="150"/>
      <c r="K59" s="150"/>
      <c r="L59" s="150">
        <v>825</v>
      </c>
      <c r="M59" s="147">
        <v>2100</v>
      </c>
      <c r="N59" s="151">
        <v>540</v>
      </c>
      <c r="O59" s="149">
        <v>11385</v>
      </c>
      <c r="P59" s="152">
        <v>13675</v>
      </c>
      <c r="Q59" s="152"/>
      <c r="R59" s="151"/>
      <c r="S59" s="152"/>
      <c r="T59" s="151">
        <v>60</v>
      </c>
      <c r="U59" s="153"/>
      <c r="V59" s="154"/>
      <c r="W59" s="155"/>
      <c r="X59" s="156"/>
      <c r="Y59" s="152">
        <v>375</v>
      </c>
      <c r="Z59" s="152"/>
      <c r="AA59" s="153"/>
      <c r="AB59" s="154"/>
      <c r="AC59" s="153">
        <v>6300</v>
      </c>
      <c r="AD59" s="154"/>
      <c r="AE59" s="151">
        <v>4000</v>
      </c>
      <c r="AF59" s="151"/>
      <c r="AG59" s="155"/>
      <c r="AH59" s="153"/>
      <c r="AI59" s="154"/>
      <c r="AJ59" s="157"/>
      <c r="AK59" s="158"/>
      <c r="AL59" s="158"/>
      <c r="AM59" s="158">
        <v>320</v>
      </c>
      <c r="AN59" s="159"/>
      <c r="AO59" s="160">
        <f t="shared" si="20"/>
        <v>90060</v>
      </c>
      <c r="AP59" s="161"/>
      <c r="AQ59" s="161">
        <f t="shared" si="21"/>
        <v>320</v>
      </c>
      <c r="AR59" s="161">
        <f t="shared" si="22"/>
        <v>540</v>
      </c>
      <c r="AS59" s="162">
        <v>129628</v>
      </c>
      <c r="AT59" s="163">
        <f t="shared" si="23"/>
        <v>1.4257369115706116</v>
      </c>
      <c r="AU59" s="164">
        <v>3060</v>
      </c>
      <c r="AV59" s="165">
        <v>8280</v>
      </c>
      <c r="AW59" s="152"/>
      <c r="AX59" s="156">
        <v>3000</v>
      </c>
      <c r="AY59" s="156">
        <v>250</v>
      </c>
      <c r="AZ59" s="156">
        <v>80</v>
      </c>
      <c r="BA59" s="166">
        <v>160</v>
      </c>
      <c r="BB59" s="167">
        <f t="shared" si="24"/>
        <v>14830</v>
      </c>
      <c r="BC59" s="168">
        <v>240</v>
      </c>
      <c r="BD59" s="167">
        <f t="shared" si="25"/>
        <v>240</v>
      </c>
      <c r="BE59" s="169">
        <v>1350</v>
      </c>
      <c r="BF59" s="170"/>
      <c r="BG59" s="171"/>
      <c r="BH59" s="171">
        <v>825</v>
      </c>
      <c r="BI59" s="172"/>
      <c r="BJ59" s="173">
        <f t="shared" si="26"/>
        <v>2175</v>
      </c>
      <c r="BK59" s="169"/>
      <c r="BL59" s="171">
        <v>1400</v>
      </c>
      <c r="BM59" s="171">
        <v>800</v>
      </c>
      <c r="BN59" s="171"/>
      <c r="BO59" s="171"/>
      <c r="BP59" s="174">
        <v>800</v>
      </c>
      <c r="BQ59" s="172">
        <v>1640</v>
      </c>
      <c r="BR59" s="175">
        <f t="shared" si="27"/>
        <v>4640</v>
      </c>
      <c r="BS59" s="164">
        <v>60</v>
      </c>
      <c r="BT59" s="165">
        <v>600</v>
      </c>
      <c r="BU59" s="165"/>
      <c r="BV59" s="165"/>
      <c r="BW59" s="165"/>
      <c r="BX59" s="165">
        <v>640</v>
      </c>
      <c r="BY59" s="152">
        <v>720</v>
      </c>
      <c r="BZ59" s="152"/>
      <c r="CA59" s="152"/>
      <c r="CB59" s="152"/>
      <c r="CC59" s="165"/>
      <c r="CD59" s="152">
        <v>170</v>
      </c>
      <c r="CE59" s="165"/>
      <c r="CF59" s="152"/>
      <c r="CG59" s="152"/>
      <c r="CH59" s="152"/>
      <c r="CI59" s="152"/>
      <c r="CJ59" s="152"/>
      <c r="CK59" s="152">
        <v>480</v>
      </c>
      <c r="CL59" s="166">
        <v>40</v>
      </c>
      <c r="CM59" s="176">
        <f t="shared" si="28"/>
        <v>2710</v>
      </c>
      <c r="CN59" s="177"/>
      <c r="CO59" s="152"/>
      <c r="CP59" s="152">
        <v>200</v>
      </c>
      <c r="CQ59" s="152"/>
      <c r="CR59" s="152"/>
      <c r="CS59" s="152">
        <v>50</v>
      </c>
      <c r="CT59" s="152">
        <v>100</v>
      </c>
      <c r="CU59" s="152"/>
      <c r="CV59" s="152">
        <v>30</v>
      </c>
      <c r="CW59" s="152"/>
      <c r="CX59" s="152">
        <v>30</v>
      </c>
      <c r="CY59" s="152"/>
      <c r="CZ59" s="166"/>
      <c r="DA59" s="175">
        <f t="shared" si="29"/>
        <v>410</v>
      </c>
      <c r="DB59" s="178">
        <f t="shared" si="30"/>
        <v>2710</v>
      </c>
      <c r="DC59" s="155">
        <f t="shared" si="31"/>
        <v>0</v>
      </c>
      <c r="DD59" s="155">
        <f t="shared" si="32"/>
        <v>6815</v>
      </c>
      <c r="DE59" s="155">
        <f t="shared" si="33"/>
        <v>94509</v>
      </c>
      <c r="DF59" s="155">
        <f t="shared" si="34"/>
        <v>0</v>
      </c>
      <c r="DG59" s="155">
        <f t="shared" si="35"/>
        <v>540</v>
      </c>
      <c r="DH59" s="155">
        <f t="shared" si="36"/>
        <v>410</v>
      </c>
      <c r="DI59" s="179">
        <v>0</v>
      </c>
      <c r="DJ59" s="179">
        <v>0</v>
      </c>
      <c r="DK59" s="155">
        <f t="shared" si="37"/>
        <v>392</v>
      </c>
      <c r="DL59" s="180">
        <v>0</v>
      </c>
      <c r="DM59" s="181">
        <f t="shared" si="38"/>
        <v>7.3517689037351952E-2</v>
      </c>
      <c r="DN59" s="182"/>
      <c r="DO59" s="183">
        <f t="shared" si="39"/>
        <v>97629</v>
      </c>
      <c r="DP59" s="184">
        <f t="shared" si="40"/>
        <v>7747</v>
      </c>
    </row>
    <row r="60" spans="1:120">
      <c r="A60" s="196"/>
      <c r="B60" s="326">
        <f t="shared" si="41"/>
        <v>44378</v>
      </c>
      <c r="C60" s="150">
        <v>24480</v>
      </c>
      <c r="D60" s="147">
        <v>2000</v>
      </c>
      <c r="E60" s="148">
        <v>12600</v>
      </c>
      <c r="F60" s="149"/>
      <c r="G60" s="148"/>
      <c r="H60" s="150"/>
      <c r="I60" s="147"/>
      <c r="J60" s="150"/>
      <c r="K60" s="150"/>
      <c r="L60" s="150">
        <v>750</v>
      </c>
      <c r="M60" s="147">
        <v>1710</v>
      </c>
      <c r="N60" s="151">
        <v>600</v>
      </c>
      <c r="O60" s="149">
        <v>8715</v>
      </c>
      <c r="P60" s="152">
        <v>11875</v>
      </c>
      <c r="Q60" s="152"/>
      <c r="R60" s="151"/>
      <c r="S60" s="152"/>
      <c r="T60" s="151"/>
      <c r="U60" s="153"/>
      <c r="V60" s="154"/>
      <c r="W60" s="155"/>
      <c r="X60" s="156"/>
      <c r="Y60" s="152">
        <v>125</v>
      </c>
      <c r="Z60" s="152"/>
      <c r="AA60" s="153"/>
      <c r="AB60" s="154"/>
      <c r="AC60" s="153">
        <v>5040</v>
      </c>
      <c r="AD60" s="154">
        <v>500</v>
      </c>
      <c r="AE60" s="151">
        <v>2000</v>
      </c>
      <c r="AF60" s="151"/>
      <c r="AG60" s="155"/>
      <c r="AH60" s="153"/>
      <c r="AI60" s="154">
        <v>500</v>
      </c>
      <c r="AJ60" s="157"/>
      <c r="AK60" s="158"/>
      <c r="AL60" s="158"/>
      <c r="AM60" s="158"/>
      <c r="AN60" s="159"/>
      <c r="AO60" s="160">
        <f t="shared" si="20"/>
        <v>70295</v>
      </c>
      <c r="AP60" s="161"/>
      <c r="AQ60" s="161">
        <f t="shared" si="21"/>
        <v>0</v>
      </c>
      <c r="AR60" s="161">
        <f t="shared" si="22"/>
        <v>600</v>
      </c>
      <c r="AS60" s="162">
        <v>121132</v>
      </c>
      <c r="AT60" s="163">
        <f t="shared" si="23"/>
        <v>1.7086113266097751</v>
      </c>
      <c r="AU60" s="164">
        <v>1680</v>
      </c>
      <c r="AV60" s="165">
        <v>7320</v>
      </c>
      <c r="AW60" s="152"/>
      <c r="AX60" s="156">
        <v>3000</v>
      </c>
      <c r="AY60" s="156"/>
      <c r="AZ60" s="156"/>
      <c r="BA60" s="166">
        <v>320</v>
      </c>
      <c r="BB60" s="167">
        <f t="shared" si="24"/>
        <v>12320</v>
      </c>
      <c r="BC60" s="168"/>
      <c r="BD60" s="167">
        <f t="shared" si="25"/>
        <v>0</v>
      </c>
      <c r="BE60" s="169">
        <v>1125</v>
      </c>
      <c r="BF60" s="170"/>
      <c r="BG60" s="171"/>
      <c r="BH60" s="171">
        <v>1275</v>
      </c>
      <c r="BI60" s="172"/>
      <c r="BJ60" s="173">
        <f t="shared" si="26"/>
        <v>2400</v>
      </c>
      <c r="BK60" s="169"/>
      <c r="BL60" s="171">
        <v>2560</v>
      </c>
      <c r="BM60" s="171">
        <v>1600</v>
      </c>
      <c r="BN60" s="171"/>
      <c r="BO60" s="171"/>
      <c r="BP60" s="174">
        <v>800</v>
      </c>
      <c r="BQ60" s="172">
        <v>1520</v>
      </c>
      <c r="BR60" s="175">
        <f t="shared" si="27"/>
        <v>6480</v>
      </c>
      <c r="BS60" s="164"/>
      <c r="BT60" s="165">
        <v>80</v>
      </c>
      <c r="BU60" s="165"/>
      <c r="BV60" s="165"/>
      <c r="BW60" s="165"/>
      <c r="BX60" s="165">
        <v>660</v>
      </c>
      <c r="BY60" s="152">
        <v>780</v>
      </c>
      <c r="BZ60" s="152">
        <v>20</v>
      </c>
      <c r="CA60" s="152"/>
      <c r="CB60" s="152"/>
      <c r="CC60" s="165"/>
      <c r="CD60" s="152">
        <v>15</v>
      </c>
      <c r="CE60" s="165"/>
      <c r="CF60" s="152"/>
      <c r="CG60" s="152"/>
      <c r="CH60" s="152"/>
      <c r="CI60" s="152"/>
      <c r="CJ60" s="152"/>
      <c r="CK60" s="152">
        <v>360</v>
      </c>
      <c r="CL60" s="166">
        <v>80</v>
      </c>
      <c r="CM60" s="176">
        <f t="shared" si="28"/>
        <v>1995</v>
      </c>
      <c r="CN60" s="177"/>
      <c r="CO60" s="152"/>
      <c r="CP60" s="152">
        <v>50</v>
      </c>
      <c r="CQ60" s="152"/>
      <c r="CR60" s="152"/>
      <c r="CS60" s="152"/>
      <c r="CT60" s="152"/>
      <c r="CU60" s="152"/>
      <c r="CV60" s="152"/>
      <c r="CW60" s="152"/>
      <c r="CX60" s="152"/>
      <c r="CY60" s="152"/>
      <c r="CZ60" s="166"/>
      <c r="DA60" s="175">
        <f t="shared" si="29"/>
        <v>50</v>
      </c>
      <c r="DB60" s="186">
        <f t="shared" si="30"/>
        <v>1995</v>
      </c>
      <c r="DC60" s="187">
        <f t="shared" si="31"/>
        <v>0</v>
      </c>
      <c r="DD60" s="187">
        <f t="shared" si="32"/>
        <v>8880</v>
      </c>
      <c r="DE60" s="187">
        <f t="shared" si="33"/>
        <v>73991</v>
      </c>
      <c r="DF60" s="187">
        <f t="shared" si="34"/>
        <v>0</v>
      </c>
      <c r="DG60" s="187">
        <f t="shared" si="35"/>
        <v>600</v>
      </c>
      <c r="DH60" s="187">
        <f t="shared" si="36"/>
        <v>50</v>
      </c>
      <c r="DI60" s="188">
        <v>0</v>
      </c>
      <c r="DJ60" s="188">
        <v>0</v>
      </c>
      <c r="DK60" s="187">
        <f t="shared" si="37"/>
        <v>0</v>
      </c>
      <c r="DL60" s="189">
        <v>0</v>
      </c>
      <c r="DM60" s="190">
        <f t="shared" si="38"/>
        <v>0.11085644791617943</v>
      </c>
      <c r="DN60" s="182"/>
      <c r="DO60" s="183">
        <f t="shared" si="39"/>
        <v>76036</v>
      </c>
      <c r="DP60" s="184">
        <f t="shared" si="40"/>
        <v>9480</v>
      </c>
    </row>
    <row r="61" spans="1:120">
      <c r="A61" s="146"/>
      <c r="B61" s="318">
        <f t="shared" si="41"/>
        <v>44409</v>
      </c>
      <c r="C61" s="150">
        <v>21675</v>
      </c>
      <c r="D61" s="147">
        <v>1000</v>
      </c>
      <c r="E61" s="148">
        <v>8820</v>
      </c>
      <c r="F61" s="149"/>
      <c r="G61" s="148"/>
      <c r="H61" s="150"/>
      <c r="I61" s="147"/>
      <c r="J61" s="150"/>
      <c r="K61" s="150"/>
      <c r="L61" s="150">
        <v>1375</v>
      </c>
      <c r="M61" s="147">
        <v>1320</v>
      </c>
      <c r="N61" s="151"/>
      <c r="O61" s="149">
        <v>10260</v>
      </c>
      <c r="P61" s="152">
        <v>11675</v>
      </c>
      <c r="Q61" s="152"/>
      <c r="R61" s="151"/>
      <c r="S61" s="152"/>
      <c r="T61" s="151">
        <v>200</v>
      </c>
      <c r="U61" s="153"/>
      <c r="V61" s="154"/>
      <c r="W61" s="155"/>
      <c r="X61" s="156"/>
      <c r="Y61" s="152">
        <v>425</v>
      </c>
      <c r="Z61" s="152"/>
      <c r="AA61" s="153"/>
      <c r="AB61" s="154"/>
      <c r="AC61" s="153">
        <v>6300</v>
      </c>
      <c r="AD61" s="154"/>
      <c r="AE61" s="151"/>
      <c r="AF61" s="151"/>
      <c r="AG61" s="155"/>
      <c r="AH61" s="153"/>
      <c r="AI61" s="154"/>
      <c r="AJ61" s="157"/>
      <c r="AK61" s="158"/>
      <c r="AL61" s="158"/>
      <c r="AM61" s="158">
        <v>120</v>
      </c>
      <c r="AN61" s="159"/>
      <c r="AO61" s="160">
        <f t="shared" si="20"/>
        <v>63050</v>
      </c>
      <c r="AP61" s="161"/>
      <c r="AQ61" s="161">
        <f t="shared" si="21"/>
        <v>120</v>
      </c>
      <c r="AR61" s="161">
        <f t="shared" si="22"/>
        <v>0</v>
      </c>
      <c r="AS61" s="162">
        <v>109666</v>
      </c>
      <c r="AT61" s="163">
        <f t="shared" si="23"/>
        <v>1.7360455912616748</v>
      </c>
      <c r="AU61" s="164">
        <v>2160</v>
      </c>
      <c r="AV61" s="165">
        <v>7170</v>
      </c>
      <c r="AW61" s="152">
        <v>120</v>
      </c>
      <c r="AX61" s="156">
        <v>3250</v>
      </c>
      <c r="AY61" s="156">
        <v>700</v>
      </c>
      <c r="AZ61" s="156">
        <v>80</v>
      </c>
      <c r="BA61" s="166">
        <v>360</v>
      </c>
      <c r="BB61" s="167">
        <f t="shared" si="24"/>
        <v>13840</v>
      </c>
      <c r="BC61" s="168">
        <v>120</v>
      </c>
      <c r="BD61" s="167">
        <f t="shared" si="25"/>
        <v>120</v>
      </c>
      <c r="BE61" s="169">
        <v>1450</v>
      </c>
      <c r="BF61" s="170">
        <v>1500</v>
      </c>
      <c r="BG61" s="171">
        <v>1000</v>
      </c>
      <c r="BH61" s="171">
        <v>1675</v>
      </c>
      <c r="BI61" s="172"/>
      <c r="BJ61" s="173">
        <f t="shared" si="26"/>
        <v>5625</v>
      </c>
      <c r="BK61" s="169"/>
      <c r="BL61" s="171">
        <v>2860</v>
      </c>
      <c r="BM61" s="171">
        <v>3200</v>
      </c>
      <c r="BN61" s="171"/>
      <c r="BO61" s="171"/>
      <c r="BP61" s="174">
        <v>1600</v>
      </c>
      <c r="BQ61" s="172">
        <v>1440</v>
      </c>
      <c r="BR61" s="175">
        <f t="shared" si="27"/>
        <v>9100</v>
      </c>
      <c r="BS61" s="164">
        <v>60</v>
      </c>
      <c r="BT61" s="165"/>
      <c r="BU61" s="165"/>
      <c r="BV61" s="165"/>
      <c r="BW61" s="165"/>
      <c r="BX61" s="165">
        <v>500</v>
      </c>
      <c r="BY61" s="152">
        <v>680</v>
      </c>
      <c r="BZ61" s="152"/>
      <c r="CA61" s="152"/>
      <c r="CB61" s="152"/>
      <c r="CC61" s="165">
        <v>70</v>
      </c>
      <c r="CD61" s="152">
        <v>170</v>
      </c>
      <c r="CE61" s="165">
        <v>80</v>
      </c>
      <c r="CF61" s="152"/>
      <c r="CG61" s="152"/>
      <c r="CH61" s="152">
        <v>20</v>
      </c>
      <c r="CI61" s="152">
        <v>20</v>
      </c>
      <c r="CJ61" s="152"/>
      <c r="CK61" s="152">
        <v>480</v>
      </c>
      <c r="CL61" s="166"/>
      <c r="CM61" s="176">
        <f t="shared" si="28"/>
        <v>2080</v>
      </c>
      <c r="CN61" s="177"/>
      <c r="CO61" s="152"/>
      <c r="CP61" s="152">
        <v>150</v>
      </c>
      <c r="CQ61" s="152"/>
      <c r="CR61" s="152"/>
      <c r="CS61" s="152"/>
      <c r="CT61" s="152"/>
      <c r="CU61" s="152"/>
      <c r="CV61" s="152"/>
      <c r="CW61" s="152"/>
      <c r="CX61" s="152"/>
      <c r="CY61" s="152"/>
      <c r="CZ61" s="166">
        <v>60</v>
      </c>
      <c r="DA61" s="175">
        <f t="shared" si="29"/>
        <v>210</v>
      </c>
      <c r="DB61" s="178">
        <f t="shared" si="30"/>
        <v>2080</v>
      </c>
      <c r="DC61" s="155">
        <f t="shared" si="31"/>
        <v>0</v>
      </c>
      <c r="DD61" s="155">
        <f t="shared" si="32"/>
        <v>14725</v>
      </c>
      <c r="DE61" s="155">
        <f t="shared" si="33"/>
        <v>67202</v>
      </c>
      <c r="DF61" s="155">
        <f t="shared" si="34"/>
        <v>0</v>
      </c>
      <c r="DG61" s="155">
        <f t="shared" si="35"/>
        <v>0</v>
      </c>
      <c r="DH61" s="155">
        <f t="shared" si="36"/>
        <v>210</v>
      </c>
      <c r="DI61" s="179">
        <v>0</v>
      </c>
      <c r="DJ61" s="179">
        <v>0</v>
      </c>
      <c r="DK61" s="155">
        <f t="shared" si="37"/>
        <v>156</v>
      </c>
      <c r="DL61" s="180">
        <v>0</v>
      </c>
      <c r="DM61" s="181">
        <f t="shared" si="38"/>
        <v>0.17637158806727271</v>
      </c>
      <c r="DN61" s="182"/>
      <c r="DO61" s="183">
        <f t="shared" si="39"/>
        <v>69492</v>
      </c>
      <c r="DP61" s="184">
        <f t="shared" si="40"/>
        <v>14881</v>
      </c>
    </row>
    <row r="62" spans="1:120">
      <c r="A62" s="146"/>
      <c r="B62" s="318">
        <f t="shared" si="41"/>
        <v>44440</v>
      </c>
      <c r="C62" s="150">
        <v>29685</v>
      </c>
      <c r="D62" s="147">
        <v>2500</v>
      </c>
      <c r="E62" s="148">
        <v>13860</v>
      </c>
      <c r="F62" s="149"/>
      <c r="G62" s="148"/>
      <c r="H62" s="150"/>
      <c r="I62" s="147"/>
      <c r="J62" s="150"/>
      <c r="K62" s="150"/>
      <c r="L62" s="150">
        <v>1100</v>
      </c>
      <c r="M62" s="147">
        <v>2130</v>
      </c>
      <c r="N62" s="151">
        <v>255</v>
      </c>
      <c r="O62" s="149">
        <v>13770</v>
      </c>
      <c r="P62" s="152">
        <v>12825</v>
      </c>
      <c r="Q62" s="152"/>
      <c r="R62" s="151"/>
      <c r="S62" s="152"/>
      <c r="T62" s="151">
        <v>100</v>
      </c>
      <c r="U62" s="153"/>
      <c r="V62" s="154"/>
      <c r="W62" s="155"/>
      <c r="X62" s="156"/>
      <c r="Y62" s="152">
        <v>500</v>
      </c>
      <c r="Z62" s="152"/>
      <c r="AA62" s="153"/>
      <c r="AB62" s="154"/>
      <c r="AC62" s="153">
        <v>3780</v>
      </c>
      <c r="AD62" s="154"/>
      <c r="AE62" s="151">
        <v>2000</v>
      </c>
      <c r="AF62" s="151"/>
      <c r="AG62" s="155"/>
      <c r="AH62" s="153"/>
      <c r="AI62" s="154"/>
      <c r="AJ62" s="157"/>
      <c r="AK62" s="158"/>
      <c r="AL62" s="158"/>
      <c r="AM62" s="158"/>
      <c r="AN62" s="159"/>
      <c r="AO62" s="160">
        <f t="shared" si="20"/>
        <v>82250</v>
      </c>
      <c r="AP62" s="161"/>
      <c r="AQ62" s="161">
        <f t="shared" si="21"/>
        <v>0</v>
      </c>
      <c r="AR62" s="161">
        <f t="shared" si="22"/>
        <v>255</v>
      </c>
      <c r="AS62" s="162">
        <v>131751</v>
      </c>
      <c r="AT62" s="163">
        <f t="shared" si="23"/>
        <v>1.5968850372704684</v>
      </c>
      <c r="AU62" s="164">
        <v>1320</v>
      </c>
      <c r="AV62" s="165">
        <v>7230</v>
      </c>
      <c r="AW62" s="152"/>
      <c r="AX62" s="156">
        <v>2850</v>
      </c>
      <c r="AY62" s="156"/>
      <c r="AZ62" s="156">
        <v>120</v>
      </c>
      <c r="BA62" s="166">
        <v>160</v>
      </c>
      <c r="BB62" s="167">
        <f t="shared" si="24"/>
        <v>11680</v>
      </c>
      <c r="BC62" s="168"/>
      <c r="BD62" s="167">
        <f t="shared" si="25"/>
        <v>0</v>
      </c>
      <c r="BE62" s="169">
        <v>300</v>
      </c>
      <c r="BF62" s="170"/>
      <c r="BG62" s="171"/>
      <c r="BH62" s="171">
        <v>1600</v>
      </c>
      <c r="BI62" s="172"/>
      <c r="BJ62" s="173">
        <f t="shared" si="26"/>
        <v>1900</v>
      </c>
      <c r="BK62" s="169"/>
      <c r="BL62" s="171">
        <v>1540</v>
      </c>
      <c r="BM62" s="171">
        <v>800</v>
      </c>
      <c r="BN62" s="171"/>
      <c r="BO62" s="171"/>
      <c r="BP62" s="174">
        <v>800</v>
      </c>
      <c r="BQ62" s="172">
        <v>400</v>
      </c>
      <c r="BR62" s="175">
        <f t="shared" si="27"/>
        <v>3540</v>
      </c>
      <c r="BS62" s="164"/>
      <c r="BT62" s="165">
        <v>60</v>
      </c>
      <c r="BU62" s="165"/>
      <c r="BV62" s="165">
        <v>20</v>
      </c>
      <c r="BW62" s="165">
        <v>60</v>
      </c>
      <c r="BX62" s="165">
        <v>580</v>
      </c>
      <c r="BY62" s="152">
        <v>980</v>
      </c>
      <c r="BZ62" s="152">
        <v>20</v>
      </c>
      <c r="CA62" s="152"/>
      <c r="CB62" s="152"/>
      <c r="CC62" s="165"/>
      <c r="CD62" s="152">
        <v>130</v>
      </c>
      <c r="CE62" s="165"/>
      <c r="CF62" s="152"/>
      <c r="CG62" s="152"/>
      <c r="CH62" s="152"/>
      <c r="CI62" s="152"/>
      <c r="CJ62" s="152"/>
      <c r="CK62" s="152">
        <v>540</v>
      </c>
      <c r="CL62" s="166"/>
      <c r="CM62" s="176">
        <f t="shared" si="28"/>
        <v>2390</v>
      </c>
      <c r="CN62" s="177"/>
      <c r="CO62" s="152"/>
      <c r="CP62" s="152">
        <v>175</v>
      </c>
      <c r="CQ62" s="152"/>
      <c r="CR62" s="152">
        <v>50</v>
      </c>
      <c r="CS62" s="152">
        <v>50</v>
      </c>
      <c r="CT62" s="152">
        <v>100</v>
      </c>
      <c r="CU62" s="152"/>
      <c r="CV62" s="152">
        <v>25</v>
      </c>
      <c r="CW62" s="152"/>
      <c r="CX62" s="152">
        <v>25</v>
      </c>
      <c r="CY62" s="152"/>
      <c r="CZ62" s="166"/>
      <c r="DA62" s="175">
        <f t="shared" si="29"/>
        <v>425</v>
      </c>
      <c r="DB62" s="186">
        <f t="shared" si="30"/>
        <v>2390</v>
      </c>
      <c r="DC62" s="187">
        <f t="shared" si="31"/>
        <v>0</v>
      </c>
      <c r="DD62" s="187">
        <f t="shared" si="32"/>
        <v>5440</v>
      </c>
      <c r="DE62" s="187">
        <f t="shared" si="33"/>
        <v>85754</v>
      </c>
      <c r="DF62" s="187">
        <f t="shared" si="34"/>
        <v>0</v>
      </c>
      <c r="DG62" s="187">
        <f t="shared" si="35"/>
        <v>255</v>
      </c>
      <c r="DH62" s="187">
        <f t="shared" si="36"/>
        <v>425</v>
      </c>
      <c r="DI62" s="188">
        <v>0</v>
      </c>
      <c r="DJ62" s="188">
        <v>0</v>
      </c>
      <c r="DK62" s="187">
        <f t="shared" si="37"/>
        <v>0</v>
      </c>
      <c r="DL62" s="189">
        <v>0</v>
      </c>
      <c r="DM62" s="190">
        <f t="shared" si="38"/>
        <v>6.0415429007892728E-2</v>
      </c>
      <c r="DN62" s="182"/>
      <c r="DO62" s="183">
        <f t="shared" si="39"/>
        <v>88569</v>
      </c>
      <c r="DP62" s="184">
        <f t="shared" si="40"/>
        <v>5695</v>
      </c>
    </row>
    <row r="63" spans="1:120">
      <c r="A63" s="146"/>
      <c r="B63" s="318">
        <f t="shared" si="41"/>
        <v>44470</v>
      </c>
      <c r="C63" s="150">
        <v>24390</v>
      </c>
      <c r="D63" s="147">
        <v>2000</v>
      </c>
      <c r="E63" s="148">
        <v>13635</v>
      </c>
      <c r="F63" s="149"/>
      <c r="G63" s="148"/>
      <c r="H63" s="150"/>
      <c r="I63" s="147"/>
      <c r="J63" s="150"/>
      <c r="K63" s="150"/>
      <c r="L63" s="150">
        <v>1300</v>
      </c>
      <c r="M63" s="147">
        <v>2190</v>
      </c>
      <c r="N63" s="151">
        <v>450</v>
      </c>
      <c r="O63" s="149">
        <v>9960</v>
      </c>
      <c r="P63" s="152">
        <v>11600</v>
      </c>
      <c r="Q63" s="152"/>
      <c r="R63" s="151"/>
      <c r="S63" s="152"/>
      <c r="T63" s="151">
        <v>40</v>
      </c>
      <c r="U63" s="153"/>
      <c r="V63" s="154"/>
      <c r="W63" s="155"/>
      <c r="X63" s="156"/>
      <c r="Y63" s="152">
        <v>875</v>
      </c>
      <c r="Z63" s="152"/>
      <c r="AA63" s="153"/>
      <c r="AB63" s="154"/>
      <c r="AC63" s="153">
        <v>7560</v>
      </c>
      <c r="AD63" s="154"/>
      <c r="AE63" s="151">
        <v>4000</v>
      </c>
      <c r="AF63" s="151"/>
      <c r="AG63" s="155"/>
      <c r="AH63" s="153"/>
      <c r="AI63" s="154"/>
      <c r="AJ63" s="157"/>
      <c r="AK63" s="158">
        <v>1000</v>
      </c>
      <c r="AL63" s="158"/>
      <c r="AM63" s="158"/>
      <c r="AN63" s="159"/>
      <c r="AO63" s="160">
        <f t="shared" si="20"/>
        <v>78550</v>
      </c>
      <c r="AP63" s="161"/>
      <c r="AQ63" s="161">
        <f t="shared" si="21"/>
        <v>0</v>
      </c>
      <c r="AR63" s="161">
        <f t="shared" si="22"/>
        <v>450</v>
      </c>
      <c r="AS63" s="162">
        <v>138983</v>
      </c>
      <c r="AT63" s="163">
        <f t="shared" si="23"/>
        <v>1.7592784810126583</v>
      </c>
      <c r="AU63" s="164">
        <v>1620</v>
      </c>
      <c r="AV63" s="165">
        <v>6150</v>
      </c>
      <c r="AW63" s="152">
        <v>60</v>
      </c>
      <c r="AX63" s="156">
        <v>3550</v>
      </c>
      <c r="AY63" s="156">
        <v>50</v>
      </c>
      <c r="AZ63" s="156"/>
      <c r="BA63" s="166">
        <v>520</v>
      </c>
      <c r="BB63" s="167">
        <f t="shared" si="24"/>
        <v>11950</v>
      </c>
      <c r="BC63" s="168"/>
      <c r="BD63" s="167">
        <f t="shared" si="25"/>
        <v>0</v>
      </c>
      <c r="BE63" s="169">
        <v>775</v>
      </c>
      <c r="BF63" s="170">
        <v>1000</v>
      </c>
      <c r="BG63" s="171"/>
      <c r="BH63" s="171">
        <v>2625</v>
      </c>
      <c r="BI63" s="172"/>
      <c r="BJ63" s="173">
        <f t="shared" si="26"/>
        <v>4400</v>
      </c>
      <c r="BK63" s="169"/>
      <c r="BL63" s="171">
        <v>3060</v>
      </c>
      <c r="BM63" s="171">
        <v>3200</v>
      </c>
      <c r="BN63" s="171"/>
      <c r="BO63" s="171"/>
      <c r="BP63" s="174">
        <v>2400</v>
      </c>
      <c r="BQ63" s="172">
        <v>1800</v>
      </c>
      <c r="BR63" s="175">
        <f t="shared" si="27"/>
        <v>10460</v>
      </c>
      <c r="BS63" s="164">
        <v>100</v>
      </c>
      <c r="BT63" s="165">
        <v>100</v>
      </c>
      <c r="BU63" s="165"/>
      <c r="BV63" s="165"/>
      <c r="BW63" s="165"/>
      <c r="BX63" s="165">
        <v>740</v>
      </c>
      <c r="BY63" s="152">
        <v>600</v>
      </c>
      <c r="BZ63" s="152"/>
      <c r="CA63" s="152"/>
      <c r="CB63" s="152"/>
      <c r="CC63" s="165"/>
      <c r="CD63" s="152">
        <v>70</v>
      </c>
      <c r="CE63" s="165"/>
      <c r="CF63" s="152"/>
      <c r="CG63" s="152"/>
      <c r="CH63" s="152"/>
      <c r="CI63" s="152">
        <v>20</v>
      </c>
      <c r="CJ63" s="152"/>
      <c r="CK63" s="152">
        <v>660</v>
      </c>
      <c r="CL63" s="166">
        <v>100</v>
      </c>
      <c r="CM63" s="176">
        <f t="shared" si="28"/>
        <v>2390</v>
      </c>
      <c r="CN63" s="177"/>
      <c r="CO63" s="152"/>
      <c r="CP63" s="152">
        <v>110</v>
      </c>
      <c r="CQ63" s="152"/>
      <c r="CR63" s="152">
        <v>20</v>
      </c>
      <c r="CS63" s="152">
        <v>20</v>
      </c>
      <c r="CT63" s="152">
        <v>150</v>
      </c>
      <c r="CU63" s="152">
        <v>70</v>
      </c>
      <c r="CV63" s="152"/>
      <c r="CW63" s="152"/>
      <c r="CX63" s="152">
        <v>50</v>
      </c>
      <c r="CY63" s="152"/>
      <c r="CZ63" s="166"/>
      <c r="DA63" s="175">
        <f t="shared" si="29"/>
        <v>420</v>
      </c>
      <c r="DB63" s="178">
        <f t="shared" si="30"/>
        <v>2390</v>
      </c>
      <c r="DC63" s="155">
        <f t="shared" si="31"/>
        <v>0</v>
      </c>
      <c r="DD63" s="155">
        <f t="shared" si="32"/>
        <v>14860</v>
      </c>
      <c r="DE63" s="155">
        <f t="shared" si="33"/>
        <v>82135</v>
      </c>
      <c r="DF63" s="155">
        <f t="shared" si="34"/>
        <v>0</v>
      </c>
      <c r="DG63" s="155">
        <f t="shared" si="35"/>
        <v>450</v>
      </c>
      <c r="DH63" s="155">
        <f t="shared" si="36"/>
        <v>420</v>
      </c>
      <c r="DI63" s="179">
        <v>0</v>
      </c>
      <c r="DJ63" s="179">
        <v>0</v>
      </c>
      <c r="DK63" s="155">
        <f t="shared" si="37"/>
        <v>0</v>
      </c>
      <c r="DL63" s="180">
        <v>0</v>
      </c>
      <c r="DM63" s="181">
        <f t="shared" si="38"/>
        <v>0.15271058800059847</v>
      </c>
      <c r="DN63" s="182"/>
      <c r="DO63" s="183">
        <f t="shared" si="39"/>
        <v>84945</v>
      </c>
      <c r="DP63" s="184">
        <f t="shared" si="40"/>
        <v>15310</v>
      </c>
    </row>
    <row r="64" spans="1:120">
      <c r="A64" s="146"/>
      <c r="B64" s="318">
        <f t="shared" si="41"/>
        <v>44501</v>
      </c>
      <c r="C64" s="150">
        <v>36255</v>
      </c>
      <c r="D64" s="147">
        <v>3500</v>
      </c>
      <c r="E64" s="148">
        <v>14520</v>
      </c>
      <c r="F64" s="149"/>
      <c r="G64" s="148"/>
      <c r="H64" s="150"/>
      <c r="I64" s="147"/>
      <c r="J64" s="150"/>
      <c r="K64" s="150"/>
      <c r="L64" s="150">
        <v>1000</v>
      </c>
      <c r="M64" s="147">
        <v>1980</v>
      </c>
      <c r="N64" s="151">
        <v>600</v>
      </c>
      <c r="O64" s="149">
        <v>18195</v>
      </c>
      <c r="P64" s="152">
        <v>12800</v>
      </c>
      <c r="Q64" s="152"/>
      <c r="R64" s="151"/>
      <c r="S64" s="152"/>
      <c r="T64" s="151">
        <v>240</v>
      </c>
      <c r="U64" s="153"/>
      <c r="V64" s="154"/>
      <c r="W64" s="155"/>
      <c r="X64" s="156"/>
      <c r="Y64" s="152">
        <v>725</v>
      </c>
      <c r="Z64" s="152"/>
      <c r="AA64" s="153"/>
      <c r="AB64" s="154"/>
      <c r="AC64" s="153">
        <v>2520</v>
      </c>
      <c r="AD64" s="154">
        <v>500</v>
      </c>
      <c r="AE64" s="151">
        <v>4000</v>
      </c>
      <c r="AF64" s="151"/>
      <c r="AG64" s="155"/>
      <c r="AH64" s="153"/>
      <c r="AI64" s="154"/>
      <c r="AJ64" s="157"/>
      <c r="AK64" s="158"/>
      <c r="AL64" s="158"/>
      <c r="AM64" s="158">
        <v>160</v>
      </c>
      <c r="AN64" s="159"/>
      <c r="AO64" s="160">
        <f t="shared" si="20"/>
        <v>96235</v>
      </c>
      <c r="AP64" s="161"/>
      <c r="AQ64" s="161">
        <f t="shared" si="21"/>
        <v>160</v>
      </c>
      <c r="AR64" s="161">
        <f t="shared" si="22"/>
        <v>600</v>
      </c>
      <c r="AS64" s="162">
        <v>144864</v>
      </c>
      <c r="AT64" s="163">
        <f t="shared" si="23"/>
        <v>1.49352028455075</v>
      </c>
      <c r="AU64" s="164">
        <v>2100</v>
      </c>
      <c r="AV64" s="165">
        <v>10410</v>
      </c>
      <c r="AW64" s="152">
        <v>300</v>
      </c>
      <c r="AX64" s="156">
        <v>4900</v>
      </c>
      <c r="AY64" s="156">
        <v>550</v>
      </c>
      <c r="AZ64" s="156">
        <v>80</v>
      </c>
      <c r="BA64" s="166">
        <v>160</v>
      </c>
      <c r="BB64" s="167">
        <f t="shared" si="24"/>
        <v>18500</v>
      </c>
      <c r="BC64" s="168">
        <v>120</v>
      </c>
      <c r="BD64" s="167">
        <f t="shared" si="25"/>
        <v>120</v>
      </c>
      <c r="BE64" s="169">
        <v>700</v>
      </c>
      <c r="BF64" s="170">
        <v>500</v>
      </c>
      <c r="BG64" s="171">
        <v>500</v>
      </c>
      <c r="BH64" s="171">
        <v>1575</v>
      </c>
      <c r="BI64" s="172"/>
      <c r="BJ64" s="173">
        <f t="shared" si="26"/>
        <v>3275</v>
      </c>
      <c r="BK64" s="169"/>
      <c r="BL64" s="171">
        <v>2060</v>
      </c>
      <c r="BM64" s="171">
        <v>1600</v>
      </c>
      <c r="BN64" s="171"/>
      <c r="BO64" s="171"/>
      <c r="BP64" s="174">
        <v>800</v>
      </c>
      <c r="BQ64" s="172">
        <v>940</v>
      </c>
      <c r="BR64" s="175">
        <f t="shared" si="27"/>
        <v>5400</v>
      </c>
      <c r="BS64" s="164">
        <v>80</v>
      </c>
      <c r="BT64" s="165">
        <v>80</v>
      </c>
      <c r="BU64" s="165"/>
      <c r="BV64" s="165"/>
      <c r="BW64" s="165"/>
      <c r="BX64" s="165">
        <v>1160</v>
      </c>
      <c r="BY64" s="152">
        <v>620</v>
      </c>
      <c r="BZ64" s="152"/>
      <c r="CA64" s="152"/>
      <c r="CB64" s="152"/>
      <c r="CC64" s="165">
        <v>15</v>
      </c>
      <c r="CD64" s="152"/>
      <c r="CE64" s="165"/>
      <c r="CF64" s="152"/>
      <c r="CG64" s="152"/>
      <c r="CH64" s="152">
        <v>60</v>
      </c>
      <c r="CI64" s="152">
        <v>100</v>
      </c>
      <c r="CJ64" s="152"/>
      <c r="CK64" s="152">
        <v>980</v>
      </c>
      <c r="CL64" s="166">
        <v>180</v>
      </c>
      <c r="CM64" s="176">
        <f t="shared" si="28"/>
        <v>3275</v>
      </c>
      <c r="CN64" s="177"/>
      <c r="CO64" s="152"/>
      <c r="CP64" s="152">
        <v>100</v>
      </c>
      <c r="CQ64" s="152"/>
      <c r="CR64" s="152"/>
      <c r="CS64" s="152"/>
      <c r="CT64" s="152"/>
      <c r="CU64" s="152"/>
      <c r="CV64" s="152"/>
      <c r="CW64" s="152"/>
      <c r="CX64" s="152"/>
      <c r="CY64" s="152"/>
      <c r="CZ64" s="166">
        <v>100</v>
      </c>
      <c r="DA64" s="175">
        <f t="shared" si="29"/>
        <v>200</v>
      </c>
      <c r="DB64" s="186">
        <f t="shared" si="30"/>
        <v>3275</v>
      </c>
      <c r="DC64" s="187">
        <f t="shared" si="31"/>
        <v>0</v>
      </c>
      <c r="DD64" s="187">
        <f t="shared" si="32"/>
        <v>8675</v>
      </c>
      <c r="DE64" s="187">
        <f t="shared" si="33"/>
        <v>101785</v>
      </c>
      <c r="DF64" s="187">
        <f t="shared" si="34"/>
        <v>0</v>
      </c>
      <c r="DG64" s="187">
        <f t="shared" si="35"/>
        <v>600</v>
      </c>
      <c r="DH64" s="187">
        <f t="shared" si="36"/>
        <v>200</v>
      </c>
      <c r="DI64" s="188">
        <v>0</v>
      </c>
      <c r="DJ64" s="188">
        <v>0</v>
      </c>
      <c r="DK64" s="187">
        <f t="shared" si="37"/>
        <v>196</v>
      </c>
      <c r="DL64" s="189">
        <v>0</v>
      </c>
      <c r="DM64" s="190">
        <f t="shared" si="38"/>
        <v>8.2549616058432335E-2</v>
      </c>
      <c r="DN64" s="182"/>
      <c r="DO64" s="183">
        <f t="shared" si="39"/>
        <v>105260</v>
      </c>
      <c r="DP64" s="184">
        <f t="shared" si="40"/>
        <v>9471</v>
      </c>
    </row>
    <row r="65" spans="1:120">
      <c r="A65" s="146"/>
      <c r="B65" s="318">
        <f t="shared" si="41"/>
        <v>44531</v>
      </c>
      <c r="C65" s="150">
        <v>41175</v>
      </c>
      <c r="D65" s="147">
        <v>2000</v>
      </c>
      <c r="E65" s="148">
        <v>10605</v>
      </c>
      <c r="F65" s="149"/>
      <c r="G65" s="148"/>
      <c r="H65" s="150"/>
      <c r="I65" s="147">
        <v>150</v>
      </c>
      <c r="J65" s="150"/>
      <c r="K65" s="150"/>
      <c r="L65" s="150">
        <v>1825</v>
      </c>
      <c r="M65" s="147">
        <v>2160</v>
      </c>
      <c r="N65" s="151">
        <v>270</v>
      </c>
      <c r="O65" s="149">
        <v>11790</v>
      </c>
      <c r="P65" s="152">
        <v>3550</v>
      </c>
      <c r="Q65" s="152"/>
      <c r="R65" s="151"/>
      <c r="S65" s="152">
        <v>50</v>
      </c>
      <c r="T65" s="151">
        <v>80</v>
      </c>
      <c r="U65" s="153"/>
      <c r="V65" s="154"/>
      <c r="W65" s="155"/>
      <c r="X65" s="156"/>
      <c r="Y65" s="152">
        <v>500</v>
      </c>
      <c r="Z65" s="152"/>
      <c r="AA65" s="153"/>
      <c r="AB65" s="154"/>
      <c r="AC65" s="153">
        <v>3780</v>
      </c>
      <c r="AD65" s="154">
        <v>2500</v>
      </c>
      <c r="AE65" s="151">
        <v>2000</v>
      </c>
      <c r="AF65" s="151"/>
      <c r="AG65" s="155"/>
      <c r="AH65" s="153"/>
      <c r="AI65" s="154"/>
      <c r="AJ65" s="157"/>
      <c r="AK65" s="158"/>
      <c r="AL65" s="158"/>
      <c r="AM65" s="158"/>
      <c r="AN65" s="159"/>
      <c r="AO65" s="160">
        <f t="shared" si="20"/>
        <v>82165</v>
      </c>
      <c r="AP65" s="161"/>
      <c r="AQ65" s="161">
        <f t="shared" si="21"/>
        <v>0</v>
      </c>
      <c r="AR65" s="161">
        <f t="shared" si="22"/>
        <v>270</v>
      </c>
      <c r="AS65" s="162">
        <v>136553</v>
      </c>
      <c r="AT65" s="163">
        <f t="shared" si="23"/>
        <v>1.6564929944804998</v>
      </c>
      <c r="AU65" s="164">
        <v>2400</v>
      </c>
      <c r="AV65" s="165">
        <v>11280</v>
      </c>
      <c r="AW65" s="152"/>
      <c r="AX65" s="156">
        <v>1750</v>
      </c>
      <c r="AY65" s="156">
        <v>250</v>
      </c>
      <c r="AZ65" s="156"/>
      <c r="BA65" s="166"/>
      <c r="BB65" s="167">
        <f t="shared" si="24"/>
        <v>15680</v>
      </c>
      <c r="BC65" s="168"/>
      <c r="BD65" s="167">
        <f t="shared" si="25"/>
        <v>0</v>
      </c>
      <c r="BE65" s="169">
        <v>250</v>
      </c>
      <c r="BF65" s="170">
        <v>500</v>
      </c>
      <c r="BG65" s="171">
        <v>500</v>
      </c>
      <c r="BH65" s="171">
        <v>1175</v>
      </c>
      <c r="BI65" s="172"/>
      <c r="BJ65" s="173">
        <f t="shared" si="26"/>
        <v>2425</v>
      </c>
      <c r="BK65" s="169"/>
      <c r="BL65" s="171">
        <v>2340</v>
      </c>
      <c r="BM65" s="171">
        <v>1600</v>
      </c>
      <c r="BN65" s="171"/>
      <c r="BO65" s="171"/>
      <c r="BP65" s="174">
        <v>1600</v>
      </c>
      <c r="BQ65" s="172">
        <v>720</v>
      </c>
      <c r="BR65" s="175">
        <f t="shared" si="27"/>
        <v>6260</v>
      </c>
      <c r="BS65" s="164">
        <v>60</v>
      </c>
      <c r="BT65" s="165">
        <v>20</v>
      </c>
      <c r="BU65" s="165"/>
      <c r="BV65" s="165">
        <v>20</v>
      </c>
      <c r="BW65" s="165">
        <v>60</v>
      </c>
      <c r="BX65" s="165">
        <v>920</v>
      </c>
      <c r="BY65" s="152">
        <v>720</v>
      </c>
      <c r="BZ65" s="152"/>
      <c r="CA65" s="152"/>
      <c r="CB65" s="152"/>
      <c r="CC65" s="165"/>
      <c r="CD65" s="152"/>
      <c r="CE65" s="165"/>
      <c r="CF65" s="152"/>
      <c r="CG65" s="152"/>
      <c r="CH65" s="152"/>
      <c r="CI65" s="152"/>
      <c r="CJ65" s="152"/>
      <c r="CK65" s="152">
        <v>480</v>
      </c>
      <c r="CL65" s="166">
        <v>160</v>
      </c>
      <c r="CM65" s="176">
        <f t="shared" si="28"/>
        <v>2440</v>
      </c>
      <c r="CN65" s="177"/>
      <c r="CO65" s="152"/>
      <c r="CP65" s="152">
        <v>225</v>
      </c>
      <c r="CQ65" s="152"/>
      <c r="CR65" s="152"/>
      <c r="CS65" s="152">
        <v>25</v>
      </c>
      <c r="CT65" s="152">
        <v>50</v>
      </c>
      <c r="CU65" s="152"/>
      <c r="CV65" s="152"/>
      <c r="CW65" s="152"/>
      <c r="CX65" s="152"/>
      <c r="CY65" s="152"/>
      <c r="CZ65" s="166"/>
      <c r="DA65" s="175">
        <f t="shared" si="29"/>
        <v>300</v>
      </c>
      <c r="DB65" s="178">
        <f t="shared" si="30"/>
        <v>2440</v>
      </c>
      <c r="DC65" s="155">
        <f t="shared" si="31"/>
        <v>0</v>
      </c>
      <c r="DD65" s="155">
        <f t="shared" si="32"/>
        <v>8685</v>
      </c>
      <c r="DE65" s="155">
        <f t="shared" si="33"/>
        <v>86869</v>
      </c>
      <c r="DF65" s="155">
        <f t="shared" si="34"/>
        <v>0</v>
      </c>
      <c r="DG65" s="155">
        <f t="shared" si="35"/>
        <v>270</v>
      </c>
      <c r="DH65" s="155">
        <f t="shared" si="36"/>
        <v>300</v>
      </c>
      <c r="DI65" s="179">
        <v>0</v>
      </c>
      <c r="DJ65" s="179">
        <v>0</v>
      </c>
      <c r="DK65" s="155">
        <f t="shared" si="37"/>
        <v>0</v>
      </c>
      <c r="DL65" s="180">
        <v>0</v>
      </c>
      <c r="DM65" s="181">
        <f t="shared" si="38"/>
        <v>9.0854673105799283E-2</v>
      </c>
      <c r="DN65" s="182"/>
      <c r="DO65" s="183">
        <f t="shared" si="39"/>
        <v>89609</v>
      </c>
      <c r="DP65" s="184">
        <f t="shared" si="40"/>
        <v>8955</v>
      </c>
    </row>
    <row r="66" spans="1:120">
      <c r="A66" s="146"/>
      <c r="B66" s="318">
        <f t="shared" si="41"/>
        <v>44562</v>
      </c>
      <c r="C66" s="150">
        <v>36495</v>
      </c>
      <c r="D66" s="147">
        <v>2000</v>
      </c>
      <c r="E66" s="148">
        <v>10080</v>
      </c>
      <c r="F66" s="149"/>
      <c r="G66" s="148"/>
      <c r="H66" s="150"/>
      <c r="I66" s="147">
        <v>150</v>
      </c>
      <c r="J66" s="150"/>
      <c r="K66" s="150"/>
      <c r="L66" s="150">
        <v>1800</v>
      </c>
      <c r="M66" s="147">
        <v>1500</v>
      </c>
      <c r="N66" s="151">
        <v>195</v>
      </c>
      <c r="O66" s="149">
        <v>6870</v>
      </c>
      <c r="P66" s="152">
        <v>2750</v>
      </c>
      <c r="Q66" s="152"/>
      <c r="R66" s="151"/>
      <c r="S66" s="152"/>
      <c r="T66" s="151">
        <v>100</v>
      </c>
      <c r="U66" s="153"/>
      <c r="V66" s="154"/>
      <c r="W66" s="155"/>
      <c r="X66" s="156"/>
      <c r="Y66" s="152">
        <v>700</v>
      </c>
      <c r="Z66" s="152"/>
      <c r="AA66" s="153"/>
      <c r="AB66" s="154"/>
      <c r="AC66" s="153">
        <v>3780</v>
      </c>
      <c r="AD66" s="154">
        <v>3000</v>
      </c>
      <c r="AE66" s="151"/>
      <c r="AF66" s="151"/>
      <c r="AG66" s="155"/>
      <c r="AH66" s="153"/>
      <c r="AI66" s="154"/>
      <c r="AJ66" s="157"/>
      <c r="AK66" s="158"/>
      <c r="AL66" s="158"/>
      <c r="AM66" s="158"/>
      <c r="AN66" s="159"/>
      <c r="AO66" s="160">
        <f t="shared" si="20"/>
        <v>69225</v>
      </c>
      <c r="AP66" s="161"/>
      <c r="AQ66" s="161">
        <f t="shared" si="21"/>
        <v>0</v>
      </c>
      <c r="AR66" s="161">
        <f t="shared" si="22"/>
        <v>195</v>
      </c>
      <c r="AS66" s="162">
        <v>121578</v>
      </c>
      <c r="AT66" s="163">
        <f t="shared" si="23"/>
        <v>1.7513396715643907</v>
      </c>
      <c r="AU66" s="164">
        <v>960</v>
      </c>
      <c r="AV66" s="165">
        <v>7230</v>
      </c>
      <c r="AW66" s="152">
        <v>300</v>
      </c>
      <c r="AX66" s="156">
        <v>5750</v>
      </c>
      <c r="AY66" s="156">
        <v>850</v>
      </c>
      <c r="AZ66" s="156">
        <v>140</v>
      </c>
      <c r="BA66" s="166">
        <v>360</v>
      </c>
      <c r="BB66" s="167">
        <f t="shared" si="24"/>
        <v>15590</v>
      </c>
      <c r="BC66" s="168"/>
      <c r="BD66" s="167">
        <f t="shared" si="25"/>
        <v>0</v>
      </c>
      <c r="BE66" s="169">
        <v>300</v>
      </c>
      <c r="BF66" s="170">
        <v>500</v>
      </c>
      <c r="BG66" s="171"/>
      <c r="BH66" s="171">
        <v>1100</v>
      </c>
      <c r="BI66" s="172"/>
      <c r="BJ66" s="173">
        <f t="shared" si="26"/>
        <v>1900</v>
      </c>
      <c r="BK66" s="169"/>
      <c r="BL66" s="171">
        <v>1400</v>
      </c>
      <c r="BM66" s="171">
        <v>1600</v>
      </c>
      <c r="BN66" s="171"/>
      <c r="BO66" s="171"/>
      <c r="BP66" s="174">
        <v>800</v>
      </c>
      <c r="BQ66" s="172">
        <v>160</v>
      </c>
      <c r="BR66" s="175">
        <f t="shared" si="27"/>
        <v>3960</v>
      </c>
      <c r="BS66" s="164"/>
      <c r="BT66" s="165"/>
      <c r="BU66" s="165"/>
      <c r="BV66" s="165"/>
      <c r="BW66" s="165"/>
      <c r="BX66" s="165">
        <v>500</v>
      </c>
      <c r="BY66" s="152">
        <v>440</v>
      </c>
      <c r="BZ66" s="152"/>
      <c r="CA66" s="152"/>
      <c r="CB66" s="152"/>
      <c r="CC66" s="165"/>
      <c r="CD66" s="152"/>
      <c r="CE66" s="165"/>
      <c r="CF66" s="152"/>
      <c r="CG66" s="152"/>
      <c r="CH66" s="152"/>
      <c r="CI66" s="152"/>
      <c r="CJ66" s="152"/>
      <c r="CK66" s="152">
        <v>80</v>
      </c>
      <c r="CL66" s="166">
        <v>60</v>
      </c>
      <c r="CM66" s="176">
        <f t="shared" si="28"/>
        <v>1080</v>
      </c>
      <c r="CN66" s="177"/>
      <c r="CO66" s="152"/>
      <c r="CP66" s="152">
        <v>75</v>
      </c>
      <c r="CQ66" s="152"/>
      <c r="CR66" s="152"/>
      <c r="CS66" s="152"/>
      <c r="CT66" s="152"/>
      <c r="CU66" s="152"/>
      <c r="CV66" s="152">
        <v>30</v>
      </c>
      <c r="CW66" s="152"/>
      <c r="CX66" s="152"/>
      <c r="CY66" s="152"/>
      <c r="CZ66" s="166">
        <v>30</v>
      </c>
      <c r="DA66" s="175">
        <f t="shared" si="29"/>
        <v>135</v>
      </c>
      <c r="DB66" s="178">
        <f t="shared" si="30"/>
        <v>1080</v>
      </c>
      <c r="DC66" s="155">
        <f t="shared" si="31"/>
        <v>0</v>
      </c>
      <c r="DD66" s="155">
        <f t="shared" si="32"/>
        <v>5860</v>
      </c>
      <c r="DE66" s="155">
        <f t="shared" si="33"/>
        <v>73902</v>
      </c>
      <c r="DF66" s="155">
        <f t="shared" si="34"/>
        <v>0</v>
      </c>
      <c r="DG66" s="155">
        <f t="shared" si="35"/>
        <v>195</v>
      </c>
      <c r="DH66" s="155">
        <f t="shared" si="36"/>
        <v>135</v>
      </c>
      <c r="DI66" s="179">
        <v>0</v>
      </c>
      <c r="DJ66" s="179">
        <v>0</v>
      </c>
      <c r="DK66" s="155">
        <f t="shared" si="37"/>
        <v>0</v>
      </c>
      <c r="DL66" s="180">
        <v>0</v>
      </c>
      <c r="DM66" s="181">
        <f t="shared" si="38"/>
        <v>7.4594687823387379E-2</v>
      </c>
      <c r="DN66" s="182"/>
      <c r="DO66" s="183">
        <f t="shared" si="39"/>
        <v>75117</v>
      </c>
      <c r="DP66" s="184">
        <f t="shared" si="40"/>
        <v>6055</v>
      </c>
    </row>
    <row r="67" spans="1:120">
      <c r="A67" s="146"/>
      <c r="B67" s="318">
        <f t="shared" si="41"/>
        <v>44593</v>
      </c>
      <c r="C67" s="150">
        <v>38820</v>
      </c>
      <c r="D67" s="147">
        <v>1000</v>
      </c>
      <c r="E67" s="148">
        <v>9750</v>
      </c>
      <c r="F67" s="149"/>
      <c r="G67" s="148"/>
      <c r="H67" s="150"/>
      <c r="I67" s="147"/>
      <c r="J67" s="150"/>
      <c r="K67" s="150"/>
      <c r="L67" s="150">
        <v>1525</v>
      </c>
      <c r="M67" s="147">
        <v>1230</v>
      </c>
      <c r="N67" s="151">
        <v>240</v>
      </c>
      <c r="O67" s="149">
        <v>7560</v>
      </c>
      <c r="P67" s="152">
        <v>1775</v>
      </c>
      <c r="Q67" s="152"/>
      <c r="R67" s="151"/>
      <c r="S67" s="152"/>
      <c r="T67" s="151">
        <v>100</v>
      </c>
      <c r="U67" s="153"/>
      <c r="V67" s="154"/>
      <c r="W67" s="155"/>
      <c r="X67" s="156"/>
      <c r="Y67" s="152">
        <v>1087.5</v>
      </c>
      <c r="Z67" s="152"/>
      <c r="AA67" s="153"/>
      <c r="AB67" s="154"/>
      <c r="AC67" s="153">
        <v>2520</v>
      </c>
      <c r="AD67" s="154">
        <v>1000</v>
      </c>
      <c r="AE67" s="151">
        <v>2000</v>
      </c>
      <c r="AF67" s="151"/>
      <c r="AG67" s="155"/>
      <c r="AH67" s="153"/>
      <c r="AI67" s="154"/>
      <c r="AJ67" s="157"/>
      <c r="AK67" s="158">
        <v>1000</v>
      </c>
      <c r="AL67" s="158"/>
      <c r="AM67" s="158">
        <v>480</v>
      </c>
      <c r="AN67" s="159"/>
      <c r="AO67" s="160">
        <f t="shared" si="20"/>
        <v>69367.5</v>
      </c>
      <c r="AP67" s="161"/>
      <c r="AQ67" s="161">
        <f t="shared" si="21"/>
        <v>480</v>
      </c>
      <c r="AR67" s="161">
        <f t="shared" si="22"/>
        <v>240</v>
      </c>
      <c r="AS67" s="162">
        <v>135409</v>
      </c>
      <c r="AT67" s="163">
        <f t="shared" si="23"/>
        <v>1.9319992866060283</v>
      </c>
      <c r="AU67" s="164">
        <v>2040</v>
      </c>
      <c r="AV67" s="165">
        <v>9120</v>
      </c>
      <c r="AW67" s="152"/>
      <c r="AX67" s="156">
        <v>2250</v>
      </c>
      <c r="AY67" s="156">
        <v>100</v>
      </c>
      <c r="AZ67" s="156"/>
      <c r="BA67" s="166">
        <v>200</v>
      </c>
      <c r="BB67" s="167">
        <f t="shared" si="24"/>
        <v>13710</v>
      </c>
      <c r="BC67" s="168">
        <v>300</v>
      </c>
      <c r="BD67" s="167">
        <f t="shared" si="25"/>
        <v>300</v>
      </c>
      <c r="BE67" s="169">
        <v>950</v>
      </c>
      <c r="BF67" s="170">
        <v>1000</v>
      </c>
      <c r="BG67" s="171"/>
      <c r="BH67" s="171">
        <v>1375</v>
      </c>
      <c r="BI67" s="172"/>
      <c r="BJ67" s="173">
        <f t="shared" si="26"/>
        <v>3325</v>
      </c>
      <c r="BK67" s="169"/>
      <c r="BL67" s="171">
        <v>2580</v>
      </c>
      <c r="BM67" s="171">
        <v>2400</v>
      </c>
      <c r="BN67" s="171"/>
      <c r="BO67" s="171"/>
      <c r="BP67" s="174">
        <v>2400</v>
      </c>
      <c r="BQ67" s="172">
        <v>900</v>
      </c>
      <c r="BR67" s="175">
        <f t="shared" si="27"/>
        <v>8280</v>
      </c>
      <c r="BS67" s="164">
        <v>60</v>
      </c>
      <c r="BT67" s="165">
        <v>80</v>
      </c>
      <c r="BU67" s="165"/>
      <c r="BV67" s="165"/>
      <c r="BW67" s="165">
        <v>60</v>
      </c>
      <c r="BX67" s="165">
        <v>880</v>
      </c>
      <c r="BY67" s="152">
        <v>580</v>
      </c>
      <c r="BZ67" s="152">
        <v>40</v>
      </c>
      <c r="CA67" s="152"/>
      <c r="CB67" s="152"/>
      <c r="CC67" s="165"/>
      <c r="CD67" s="152"/>
      <c r="CE67" s="165"/>
      <c r="CF67" s="152"/>
      <c r="CG67" s="152"/>
      <c r="CH67" s="152"/>
      <c r="CI67" s="152"/>
      <c r="CJ67" s="152"/>
      <c r="CK67" s="152">
        <v>840</v>
      </c>
      <c r="CL67" s="166">
        <v>260</v>
      </c>
      <c r="CM67" s="176">
        <f t="shared" si="28"/>
        <v>2800</v>
      </c>
      <c r="CN67" s="177"/>
      <c r="CO67" s="152"/>
      <c r="CP67" s="152">
        <v>125</v>
      </c>
      <c r="CQ67" s="152"/>
      <c r="CR67" s="152"/>
      <c r="CS67" s="152"/>
      <c r="CT67" s="152">
        <v>150</v>
      </c>
      <c r="CU67" s="152">
        <v>50</v>
      </c>
      <c r="CV67" s="152"/>
      <c r="CW67" s="152"/>
      <c r="CX67" s="152"/>
      <c r="CY67" s="152"/>
      <c r="CZ67" s="166"/>
      <c r="DA67" s="175">
        <f t="shared" si="29"/>
        <v>325</v>
      </c>
      <c r="DB67" s="178">
        <f t="shared" si="30"/>
        <v>2800</v>
      </c>
      <c r="DC67" s="155">
        <f t="shared" si="31"/>
        <v>0</v>
      </c>
      <c r="DD67" s="155">
        <f t="shared" si="32"/>
        <v>11605</v>
      </c>
      <c r="DE67" s="155">
        <f t="shared" si="33"/>
        <v>73480.5</v>
      </c>
      <c r="DF67" s="155">
        <f t="shared" si="34"/>
        <v>0</v>
      </c>
      <c r="DG67" s="155">
        <f t="shared" si="35"/>
        <v>240</v>
      </c>
      <c r="DH67" s="155">
        <f t="shared" si="36"/>
        <v>325</v>
      </c>
      <c r="DI67" s="179">
        <v>0</v>
      </c>
      <c r="DJ67" s="179">
        <v>0</v>
      </c>
      <c r="DK67" s="155">
        <f t="shared" si="37"/>
        <v>570</v>
      </c>
      <c r="DL67" s="180">
        <v>0</v>
      </c>
      <c r="DM67" s="181">
        <f t="shared" si="38"/>
        <v>0.13946225869322235</v>
      </c>
      <c r="DN67" s="182"/>
      <c r="DO67" s="183">
        <f t="shared" si="39"/>
        <v>76605.5</v>
      </c>
      <c r="DP67" s="184">
        <f t="shared" si="40"/>
        <v>12415</v>
      </c>
    </row>
    <row r="68" spans="1:120" ht="16.5" thickBot="1">
      <c r="A68" s="185"/>
      <c r="B68" s="319">
        <f t="shared" si="41"/>
        <v>44621</v>
      </c>
      <c r="C68" s="204">
        <v>39885</v>
      </c>
      <c r="D68" s="201">
        <v>3500</v>
      </c>
      <c r="E68" s="202">
        <v>10950</v>
      </c>
      <c r="F68" s="203"/>
      <c r="G68" s="202"/>
      <c r="H68" s="204"/>
      <c r="I68" s="201">
        <v>75</v>
      </c>
      <c r="J68" s="204"/>
      <c r="K68" s="204"/>
      <c r="L68" s="204">
        <v>1750</v>
      </c>
      <c r="M68" s="201">
        <v>1890</v>
      </c>
      <c r="N68" s="205">
        <v>360</v>
      </c>
      <c r="O68" s="203">
        <v>13260</v>
      </c>
      <c r="P68" s="206">
        <v>4450</v>
      </c>
      <c r="Q68" s="206"/>
      <c r="R68" s="205"/>
      <c r="S68" s="206"/>
      <c r="T68" s="205">
        <v>80</v>
      </c>
      <c r="U68" s="207"/>
      <c r="V68" s="208"/>
      <c r="W68" s="209"/>
      <c r="X68" s="210"/>
      <c r="Y68" s="206">
        <v>575</v>
      </c>
      <c r="Z68" s="206"/>
      <c r="AA68" s="207"/>
      <c r="AB68" s="208"/>
      <c r="AC68" s="207">
        <v>5040</v>
      </c>
      <c r="AD68" s="208">
        <v>1500</v>
      </c>
      <c r="AE68" s="205">
        <v>2000</v>
      </c>
      <c r="AF68" s="205"/>
      <c r="AG68" s="209"/>
      <c r="AH68" s="207"/>
      <c r="AI68" s="208"/>
      <c r="AJ68" s="211"/>
      <c r="AK68" s="212"/>
      <c r="AL68" s="212"/>
      <c r="AM68" s="212"/>
      <c r="AN68" s="213"/>
      <c r="AO68" s="214">
        <f t="shared" si="20"/>
        <v>84955</v>
      </c>
      <c r="AP68" s="215"/>
      <c r="AQ68" s="215">
        <f t="shared" si="21"/>
        <v>0</v>
      </c>
      <c r="AR68" s="215">
        <f t="shared" si="22"/>
        <v>360</v>
      </c>
      <c r="AS68" s="216">
        <v>151015</v>
      </c>
      <c r="AT68" s="217">
        <f t="shared" si="23"/>
        <v>1.7700873234483971</v>
      </c>
      <c r="AU68" s="218">
        <v>1920</v>
      </c>
      <c r="AV68" s="219">
        <v>9090</v>
      </c>
      <c r="AW68" s="206"/>
      <c r="AX68" s="210">
        <v>5250</v>
      </c>
      <c r="AY68" s="210">
        <v>300</v>
      </c>
      <c r="AZ68" s="210"/>
      <c r="BA68" s="220">
        <v>720</v>
      </c>
      <c r="BB68" s="221">
        <f t="shared" si="24"/>
        <v>17280</v>
      </c>
      <c r="BC68" s="222"/>
      <c r="BD68" s="221">
        <f t="shared" si="25"/>
        <v>0</v>
      </c>
      <c r="BE68" s="223">
        <v>150</v>
      </c>
      <c r="BF68" s="224"/>
      <c r="BG68" s="225">
        <v>500</v>
      </c>
      <c r="BH68" s="225">
        <v>1350</v>
      </c>
      <c r="BI68" s="226"/>
      <c r="BJ68" s="227">
        <f t="shared" si="26"/>
        <v>2000</v>
      </c>
      <c r="BK68" s="223"/>
      <c r="BL68" s="225">
        <v>1540</v>
      </c>
      <c r="BM68" s="225">
        <v>2400</v>
      </c>
      <c r="BN68" s="225"/>
      <c r="BO68" s="225"/>
      <c r="BP68" s="228">
        <v>1600</v>
      </c>
      <c r="BQ68" s="226">
        <v>180</v>
      </c>
      <c r="BR68" s="229">
        <f t="shared" si="27"/>
        <v>5720</v>
      </c>
      <c r="BS68" s="218"/>
      <c r="BT68" s="219">
        <v>60</v>
      </c>
      <c r="BU68" s="219"/>
      <c r="BV68" s="219"/>
      <c r="BW68" s="219">
        <v>60</v>
      </c>
      <c r="BX68" s="219">
        <v>760</v>
      </c>
      <c r="BY68" s="206">
        <v>680</v>
      </c>
      <c r="BZ68" s="206">
        <v>20</v>
      </c>
      <c r="CA68" s="206"/>
      <c r="CB68" s="206"/>
      <c r="CC68" s="219"/>
      <c r="CD68" s="206"/>
      <c r="CE68" s="219"/>
      <c r="CF68" s="206"/>
      <c r="CG68" s="206"/>
      <c r="CH68" s="206"/>
      <c r="CI68" s="206"/>
      <c r="CJ68" s="206"/>
      <c r="CK68" s="206">
        <v>860</v>
      </c>
      <c r="CL68" s="220">
        <v>240</v>
      </c>
      <c r="CM68" s="230">
        <f t="shared" si="28"/>
        <v>2680</v>
      </c>
      <c r="CN68" s="231"/>
      <c r="CO68" s="206"/>
      <c r="CP68" s="206">
        <v>70</v>
      </c>
      <c r="CQ68" s="206"/>
      <c r="CR68" s="206"/>
      <c r="CS68" s="206">
        <v>50</v>
      </c>
      <c r="CT68" s="206"/>
      <c r="CU68" s="206"/>
      <c r="CV68" s="206"/>
      <c r="CW68" s="206"/>
      <c r="CX68" s="206">
        <v>30</v>
      </c>
      <c r="CY68" s="206"/>
      <c r="CZ68" s="220"/>
      <c r="DA68" s="229">
        <f t="shared" si="29"/>
        <v>150</v>
      </c>
      <c r="DB68" s="240">
        <f t="shared" si="30"/>
        <v>2680</v>
      </c>
      <c r="DC68" s="209">
        <f t="shared" si="31"/>
        <v>0</v>
      </c>
      <c r="DD68" s="209">
        <f t="shared" si="32"/>
        <v>7720</v>
      </c>
      <c r="DE68" s="209">
        <f t="shared" si="33"/>
        <v>90139</v>
      </c>
      <c r="DF68" s="209">
        <f t="shared" si="34"/>
        <v>0</v>
      </c>
      <c r="DG68" s="209">
        <f t="shared" si="35"/>
        <v>360</v>
      </c>
      <c r="DH68" s="209">
        <f t="shared" si="36"/>
        <v>150</v>
      </c>
      <c r="DI68" s="241">
        <v>0</v>
      </c>
      <c r="DJ68" s="241">
        <v>0</v>
      </c>
      <c r="DK68" s="209">
        <f t="shared" si="37"/>
        <v>0</v>
      </c>
      <c r="DL68" s="242">
        <v>0</v>
      </c>
      <c r="DM68" s="243">
        <f t="shared" si="38"/>
        <v>7.9961206939207705E-2</v>
      </c>
      <c r="DN68" s="237"/>
      <c r="DO68" s="238">
        <f t="shared" si="39"/>
        <v>92969</v>
      </c>
      <c r="DP68" s="239">
        <f t="shared" si="40"/>
        <v>8080</v>
      </c>
    </row>
    <row r="69" spans="1:120">
      <c r="A69" s="191">
        <f>A57+1</f>
        <v>2022</v>
      </c>
      <c r="B69" s="317">
        <f t="shared" si="41"/>
        <v>44652</v>
      </c>
      <c r="C69" s="109">
        <v>40635</v>
      </c>
      <c r="D69" s="106">
        <v>2500</v>
      </c>
      <c r="E69" s="107">
        <v>11910</v>
      </c>
      <c r="F69" s="111"/>
      <c r="G69" s="107"/>
      <c r="H69" s="109"/>
      <c r="I69" s="106"/>
      <c r="J69" s="109"/>
      <c r="K69" s="109"/>
      <c r="L69" s="109">
        <v>1400</v>
      </c>
      <c r="M69" s="106">
        <v>1875</v>
      </c>
      <c r="N69" s="110">
        <v>150</v>
      </c>
      <c r="O69" s="111">
        <v>10245</v>
      </c>
      <c r="P69" s="112">
        <v>3250</v>
      </c>
      <c r="Q69" s="112"/>
      <c r="R69" s="110"/>
      <c r="S69" s="112">
        <v>50</v>
      </c>
      <c r="T69" s="110">
        <v>140</v>
      </c>
      <c r="U69" s="113"/>
      <c r="V69" s="114"/>
      <c r="W69" s="115"/>
      <c r="X69" s="116"/>
      <c r="Y69" s="112">
        <v>550</v>
      </c>
      <c r="Z69" s="112"/>
      <c r="AA69" s="113"/>
      <c r="AB69" s="114"/>
      <c r="AC69" s="113">
        <v>3780</v>
      </c>
      <c r="AD69" s="114">
        <v>3000</v>
      </c>
      <c r="AE69" s="110"/>
      <c r="AF69" s="110"/>
      <c r="AG69" s="115"/>
      <c r="AH69" s="113"/>
      <c r="AI69" s="114"/>
      <c r="AJ69" s="117"/>
      <c r="AK69" s="118">
        <v>500</v>
      </c>
      <c r="AL69" s="118"/>
      <c r="AM69" s="118"/>
      <c r="AN69" s="119"/>
      <c r="AO69" s="120">
        <f t="shared" si="20"/>
        <v>79835</v>
      </c>
      <c r="AP69" s="121"/>
      <c r="AQ69" s="121">
        <f t="shared" si="21"/>
        <v>0</v>
      </c>
      <c r="AR69" s="121">
        <f t="shared" si="22"/>
        <v>150</v>
      </c>
      <c r="AS69" s="122">
        <v>130978</v>
      </c>
      <c r="AT69" s="123">
        <f t="shared" si="23"/>
        <v>1.6375320372569857</v>
      </c>
      <c r="AU69" s="124">
        <v>2280</v>
      </c>
      <c r="AV69" s="125">
        <v>8730</v>
      </c>
      <c r="AW69" s="112"/>
      <c r="AX69" s="116">
        <v>5000</v>
      </c>
      <c r="AY69" s="116"/>
      <c r="AZ69" s="116"/>
      <c r="BA69" s="126"/>
      <c r="BB69" s="127">
        <f t="shared" si="24"/>
        <v>16010</v>
      </c>
      <c r="BC69" s="128"/>
      <c r="BD69" s="127">
        <f t="shared" si="25"/>
        <v>0</v>
      </c>
      <c r="BE69" s="129"/>
      <c r="BF69" s="130">
        <v>2000</v>
      </c>
      <c r="BG69" s="131">
        <v>500</v>
      </c>
      <c r="BH69" s="131">
        <v>2775</v>
      </c>
      <c r="BI69" s="132"/>
      <c r="BJ69" s="133">
        <f t="shared" si="26"/>
        <v>5275</v>
      </c>
      <c r="BK69" s="129"/>
      <c r="BL69" s="131">
        <v>3240</v>
      </c>
      <c r="BM69" s="131">
        <v>3200</v>
      </c>
      <c r="BN69" s="131">
        <v>1000</v>
      </c>
      <c r="BO69" s="131"/>
      <c r="BP69" s="134">
        <v>1600</v>
      </c>
      <c r="BQ69" s="132"/>
      <c r="BR69" s="135">
        <f t="shared" si="27"/>
        <v>9040</v>
      </c>
      <c r="BS69" s="124">
        <v>20</v>
      </c>
      <c r="BT69" s="125">
        <v>440</v>
      </c>
      <c r="BU69" s="125"/>
      <c r="BV69" s="244"/>
      <c r="BW69" s="244"/>
      <c r="BX69" s="244">
        <v>820</v>
      </c>
      <c r="BY69" s="245">
        <v>680</v>
      </c>
      <c r="BZ69" s="245">
        <v>100</v>
      </c>
      <c r="CA69" s="112"/>
      <c r="CB69" s="112"/>
      <c r="CC69" s="125"/>
      <c r="CD69" s="112"/>
      <c r="CE69" s="125"/>
      <c r="CF69" s="112"/>
      <c r="CG69" s="112"/>
      <c r="CH69" s="245"/>
      <c r="CI69" s="245">
        <v>100</v>
      </c>
      <c r="CJ69" s="245"/>
      <c r="CK69" s="112">
        <v>400</v>
      </c>
      <c r="CL69" s="126">
        <v>100</v>
      </c>
      <c r="CM69" s="136">
        <f t="shared" si="28"/>
        <v>2660</v>
      </c>
      <c r="CN69" s="137"/>
      <c r="CO69" s="112"/>
      <c r="CP69" s="112">
        <v>75</v>
      </c>
      <c r="CQ69" s="112"/>
      <c r="CR69" s="112"/>
      <c r="CS69" s="112"/>
      <c r="CT69" s="112"/>
      <c r="CU69" s="112"/>
      <c r="CV69" s="112"/>
      <c r="CW69" s="112"/>
      <c r="CX69" s="112">
        <v>50</v>
      </c>
      <c r="CY69" s="112"/>
      <c r="CZ69" s="126"/>
      <c r="DA69" s="135">
        <f t="shared" si="29"/>
        <v>125</v>
      </c>
      <c r="DB69" s="192">
        <f t="shared" si="30"/>
        <v>2660</v>
      </c>
      <c r="DC69" s="115">
        <f t="shared" si="31"/>
        <v>0</v>
      </c>
      <c r="DD69" s="115">
        <f t="shared" si="32"/>
        <v>14315</v>
      </c>
      <c r="DE69" s="115">
        <f t="shared" si="33"/>
        <v>84638</v>
      </c>
      <c r="DF69" s="115">
        <f t="shared" si="34"/>
        <v>0</v>
      </c>
      <c r="DG69" s="115">
        <f t="shared" si="35"/>
        <v>150</v>
      </c>
      <c r="DH69" s="115">
        <f t="shared" si="36"/>
        <v>125</v>
      </c>
      <c r="DI69" s="193">
        <v>0</v>
      </c>
      <c r="DJ69" s="193">
        <v>0</v>
      </c>
      <c r="DK69" s="115">
        <f t="shared" si="37"/>
        <v>0</v>
      </c>
      <c r="DL69" s="194">
        <v>0</v>
      </c>
      <c r="DM69" s="195">
        <f t="shared" si="38"/>
        <v>0.14196961369346733</v>
      </c>
      <c r="DN69" s="143"/>
      <c r="DO69" s="144">
        <f t="shared" si="39"/>
        <v>87423</v>
      </c>
      <c r="DP69" s="145">
        <f t="shared" si="40"/>
        <v>14465</v>
      </c>
    </row>
    <row r="70" spans="1:120">
      <c r="A70" s="146"/>
      <c r="B70" s="318">
        <f t="shared" si="41"/>
        <v>44682</v>
      </c>
      <c r="C70" s="150">
        <v>32280</v>
      </c>
      <c r="D70" s="147">
        <v>1500</v>
      </c>
      <c r="E70" s="148">
        <v>9150</v>
      </c>
      <c r="F70" s="149"/>
      <c r="G70" s="148"/>
      <c r="H70" s="150"/>
      <c r="I70" s="147">
        <v>105</v>
      </c>
      <c r="J70" s="150"/>
      <c r="K70" s="150"/>
      <c r="L70" s="150">
        <v>1450</v>
      </c>
      <c r="M70" s="147">
        <v>1695</v>
      </c>
      <c r="N70" s="151">
        <v>450</v>
      </c>
      <c r="O70" s="149">
        <v>13650</v>
      </c>
      <c r="P70" s="152">
        <v>2675</v>
      </c>
      <c r="Q70" s="152"/>
      <c r="R70" s="151"/>
      <c r="S70" s="152"/>
      <c r="T70" s="151">
        <v>100</v>
      </c>
      <c r="U70" s="153"/>
      <c r="V70" s="154"/>
      <c r="W70" s="155"/>
      <c r="X70" s="156"/>
      <c r="Y70" s="152">
        <v>375</v>
      </c>
      <c r="Z70" s="152"/>
      <c r="AA70" s="153"/>
      <c r="AB70" s="154"/>
      <c r="AC70" s="153">
        <v>3780</v>
      </c>
      <c r="AD70" s="154">
        <v>1000</v>
      </c>
      <c r="AE70" s="151">
        <v>2000</v>
      </c>
      <c r="AF70" s="151"/>
      <c r="AG70" s="155"/>
      <c r="AH70" s="153"/>
      <c r="AI70" s="154"/>
      <c r="AJ70" s="157">
        <v>450</v>
      </c>
      <c r="AK70" s="158"/>
      <c r="AL70" s="158"/>
      <c r="AM70" s="158">
        <v>340</v>
      </c>
      <c r="AN70" s="159"/>
      <c r="AO70" s="160">
        <f t="shared" si="20"/>
        <v>70210</v>
      </c>
      <c r="AP70" s="161"/>
      <c r="AQ70" s="161">
        <f t="shared" si="21"/>
        <v>340</v>
      </c>
      <c r="AR70" s="161">
        <f t="shared" si="22"/>
        <v>450</v>
      </c>
      <c r="AS70" s="162">
        <v>110888</v>
      </c>
      <c r="AT70" s="163">
        <f t="shared" ref="AT70:AT101" si="42">AS70/(AO70+AP70+AQ70+AR70)</f>
        <v>1.5618028169014084</v>
      </c>
      <c r="AU70" s="164">
        <v>960</v>
      </c>
      <c r="AV70" s="165">
        <v>7050</v>
      </c>
      <c r="AW70" s="152"/>
      <c r="AX70" s="156">
        <v>6150</v>
      </c>
      <c r="AY70" s="156">
        <v>450</v>
      </c>
      <c r="AZ70" s="156">
        <v>80</v>
      </c>
      <c r="BA70" s="166">
        <v>160</v>
      </c>
      <c r="BB70" s="167">
        <f t="shared" ref="BB70:BB101" si="43">SUM(AU70:BA70)</f>
        <v>14850</v>
      </c>
      <c r="BC70" s="168">
        <v>180</v>
      </c>
      <c r="BD70" s="167">
        <f t="shared" ref="BD70:BD101" si="44">BC70</f>
        <v>180</v>
      </c>
      <c r="BE70" s="169"/>
      <c r="BF70" s="170"/>
      <c r="BG70" s="171"/>
      <c r="BH70" s="171">
        <v>1225</v>
      </c>
      <c r="BI70" s="172"/>
      <c r="BJ70" s="173">
        <f t="shared" ref="BJ70:BJ101" si="45">SUM(BE70:BI70)</f>
        <v>1225</v>
      </c>
      <c r="BK70" s="169"/>
      <c r="BL70" s="171">
        <v>1520</v>
      </c>
      <c r="BM70" s="171">
        <v>1600</v>
      </c>
      <c r="BN70" s="171"/>
      <c r="BO70" s="171"/>
      <c r="BP70" s="174">
        <v>1600</v>
      </c>
      <c r="BQ70" s="172"/>
      <c r="BR70" s="175">
        <f t="shared" ref="BR70:BR101" si="46">SUM(BK70:BQ70)</f>
        <v>4720</v>
      </c>
      <c r="BS70" s="164"/>
      <c r="BT70" s="165">
        <v>800</v>
      </c>
      <c r="BU70" s="165"/>
      <c r="BV70" s="246"/>
      <c r="BW70" s="246"/>
      <c r="BX70" s="246">
        <v>460</v>
      </c>
      <c r="BY70" s="247">
        <v>440</v>
      </c>
      <c r="BZ70" s="247">
        <v>20</v>
      </c>
      <c r="CA70" s="152"/>
      <c r="CB70" s="152"/>
      <c r="CC70" s="165"/>
      <c r="CD70" s="152"/>
      <c r="CE70" s="165"/>
      <c r="CF70" s="152"/>
      <c r="CG70" s="152"/>
      <c r="CH70" s="247"/>
      <c r="CI70" s="247"/>
      <c r="CJ70" s="247"/>
      <c r="CK70" s="152">
        <v>220</v>
      </c>
      <c r="CL70" s="166">
        <v>60</v>
      </c>
      <c r="CM70" s="176">
        <f t="shared" ref="CM70:CM101" si="47">SUM(BS70:CL70)</f>
        <v>2000</v>
      </c>
      <c r="CN70" s="177"/>
      <c r="CO70" s="152"/>
      <c r="CP70" s="152">
        <v>75</v>
      </c>
      <c r="CQ70" s="152"/>
      <c r="CR70" s="152"/>
      <c r="CS70" s="152"/>
      <c r="CT70" s="152"/>
      <c r="CU70" s="152"/>
      <c r="CV70" s="152"/>
      <c r="CW70" s="152"/>
      <c r="CX70" s="152"/>
      <c r="CY70" s="152"/>
      <c r="CZ70" s="166"/>
      <c r="DA70" s="175">
        <f t="shared" ref="DA70:DA101" si="48">SUM(CN70:CZ70)</f>
        <v>75</v>
      </c>
      <c r="DB70" s="186">
        <f t="shared" ref="DB70:DB101" si="49">CM70-CA70-CB70</f>
        <v>2000</v>
      </c>
      <c r="DC70" s="187">
        <f t="shared" ref="DC70:DC101" si="50">CA70+CB70</f>
        <v>0</v>
      </c>
      <c r="DD70" s="187">
        <f t="shared" ref="DD70:DD101" si="51">BJ70+BR70</f>
        <v>5945</v>
      </c>
      <c r="DE70" s="187">
        <f t="shared" ref="DE70:DE101" si="52">AO70+BB70*0.3</f>
        <v>74665</v>
      </c>
      <c r="DF70" s="187">
        <f t="shared" ref="DF70:DF101" si="53">AP70</f>
        <v>0</v>
      </c>
      <c r="DG70" s="187">
        <f t="shared" ref="DG70:DG101" si="54">AR70</f>
        <v>450</v>
      </c>
      <c r="DH70" s="187">
        <f t="shared" ref="DH70:DH101" si="55">DA70</f>
        <v>75</v>
      </c>
      <c r="DI70" s="188">
        <v>0</v>
      </c>
      <c r="DJ70" s="188">
        <v>0</v>
      </c>
      <c r="DK70" s="187">
        <f t="shared" ref="DK70:DK101" si="56">AQ70+0.3*BD70</f>
        <v>394</v>
      </c>
      <c r="DL70" s="189">
        <v>0</v>
      </c>
      <c r="DM70" s="190">
        <f t="shared" ref="DM70:DM101" si="57">DP70/(DO70+DP70)</f>
        <v>8.1277161225442665E-2</v>
      </c>
      <c r="DN70" s="182"/>
      <c r="DO70" s="183">
        <f t="shared" ref="DO70:DO101" si="58">DB70+DE70+DH70</f>
        <v>76740</v>
      </c>
      <c r="DP70" s="184">
        <f t="shared" ref="DP70:DP101" si="59">DC70+DD70+DF70+DG70+DI70+DJ70+DK70+DL70</f>
        <v>6789</v>
      </c>
    </row>
    <row r="71" spans="1:120">
      <c r="A71" s="146"/>
      <c r="B71" s="318">
        <f t="shared" ref="B71:B102" si="60">DATE(YEAR(B70),MONTH(B70)+1,1)</f>
        <v>44713</v>
      </c>
      <c r="C71" s="150">
        <v>35520</v>
      </c>
      <c r="D71" s="147">
        <v>2000</v>
      </c>
      <c r="E71" s="148">
        <v>10305</v>
      </c>
      <c r="F71" s="149"/>
      <c r="G71" s="148"/>
      <c r="H71" s="150">
        <v>100</v>
      </c>
      <c r="I71" s="147"/>
      <c r="J71" s="150"/>
      <c r="K71" s="150"/>
      <c r="L71" s="150">
        <v>875</v>
      </c>
      <c r="M71" s="147">
        <v>1710</v>
      </c>
      <c r="N71" s="151"/>
      <c r="O71" s="149">
        <v>11520</v>
      </c>
      <c r="P71" s="152">
        <v>1100</v>
      </c>
      <c r="Q71" s="152"/>
      <c r="R71" s="151"/>
      <c r="S71" s="152"/>
      <c r="T71" s="151">
        <v>140</v>
      </c>
      <c r="U71" s="153"/>
      <c r="V71" s="154"/>
      <c r="W71" s="155"/>
      <c r="X71" s="156"/>
      <c r="Y71" s="152">
        <v>650</v>
      </c>
      <c r="Z71" s="152"/>
      <c r="AA71" s="153"/>
      <c r="AB71" s="154"/>
      <c r="AC71" s="153">
        <v>3780</v>
      </c>
      <c r="AD71" s="154">
        <v>2500</v>
      </c>
      <c r="AE71" s="151">
        <v>2000</v>
      </c>
      <c r="AF71" s="151"/>
      <c r="AG71" s="155"/>
      <c r="AH71" s="153"/>
      <c r="AI71" s="154"/>
      <c r="AJ71" s="157">
        <v>150</v>
      </c>
      <c r="AK71" s="158">
        <v>1000</v>
      </c>
      <c r="AL71" s="158"/>
      <c r="AM71" s="158"/>
      <c r="AN71" s="159"/>
      <c r="AO71" s="160">
        <f t="shared" ref="AO71:AO116" si="61">SUM(C71:AL71)-N71</f>
        <v>73350</v>
      </c>
      <c r="AP71" s="161"/>
      <c r="AQ71" s="161">
        <f t="shared" ref="AQ71:AQ116" si="62">AM71+AN71</f>
        <v>0</v>
      </c>
      <c r="AR71" s="161">
        <f t="shared" ref="AR71:AR116" si="63">N71</f>
        <v>0</v>
      </c>
      <c r="AS71" s="162">
        <v>134862</v>
      </c>
      <c r="AT71" s="163">
        <f t="shared" si="42"/>
        <v>1.8386094069529653</v>
      </c>
      <c r="AU71" s="164">
        <v>1200</v>
      </c>
      <c r="AV71" s="165">
        <v>6600</v>
      </c>
      <c r="AW71" s="152">
        <v>150</v>
      </c>
      <c r="AX71" s="156">
        <v>2700</v>
      </c>
      <c r="AY71" s="156">
        <v>550</v>
      </c>
      <c r="AZ71" s="156"/>
      <c r="BA71" s="166">
        <v>440</v>
      </c>
      <c r="BB71" s="167">
        <f t="shared" si="43"/>
        <v>11640</v>
      </c>
      <c r="BC71" s="168"/>
      <c r="BD71" s="167">
        <f t="shared" si="44"/>
        <v>0</v>
      </c>
      <c r="BE71" s="169"/>
      <c r="BF71" s="170">
        <v>1000</v>
      </c>
      <c r="BG71" s="171">
        <v>500</v>
      </c>
      <c r="BH71" s="171">
        <v>2175</v>
      </c>
      <c r="BI71" s="172"/>
      <c r="BJ71" s="173">
        <f t="shared" si="45"/>
        <v>3675</v>
      </c>
      <c r="BK71" s="169"/>
      <c r="BL71" s="171">
        <v>2520</v>
      </c>
      <c r="BM71" s="171">
        <v>2400</v>
      </c>
      <c r="BN71" s="171"/>
      <c r="BO71" s="171"/>
      <c r="BP71" s="174">
        <v>1600</v>
      </c>
      <c r="BQ71" s="172"/>
      <c r="BR71" s="175">
        <f t="shared" si="46"/>
        <v>6520</v>
      </c>
      <c r="BS71" s="164">
        <v>40</v>
      </c>
      <c r="BT71" s="165">
        <v>680</v>
      </c>
      <c r="BU71" s="165"/>
      <c r="BV71" s="246"/>
      <c r="BW71" s="246"/>
      <c r="BX71" s="246">
        <v>880</v>
      </c>
      <c r="BY71" s="247">
        <v>620</v>
      </c>
      <c r="BZ71" s="247">
        <v>20</v>
      </c>
      <c r="CA71" s="152"/>
      <c r="CB71" s="152"/>
      <c r="CC71" s="165"/>
      <c r="CD71" s="152"/>
      <c r="CE71" s="165"/>
      <c r="CF71" s="152"/>
      <c r="CG71" s="152"/>
      <c r="CH71" s="247"/>
      <c r="CI71" s="247"/>
      <c r="CJ71" s="247"/>
      <c r="CK71" s="152">
        <v>540</v>
      </c>
      <c r="CL71" s="166"/>
      <c r="CM71" s="176">
        <f t="shared" si="47"/>
        <v>2780</v>
      </c>
      <c r="CN71" s="177"/>
      <c r="CO71" s="152"/>
      <c r="CP71" s="152"/>
      <c r="CQ71" s="152"/>
      <c r="CR71" s="152"/>
      <c r="CS71" s="152">
        <v>50</v>
      </c>
      <c r="CT71" s="152"/>
      <c r="CU71" s="152"/>
      <c r="CV71" s="152">
        <v>10</v>
      </c>
      <c r="CW71" s="152"/>
      <c r="CX71" s="152">
        <v>30</v>
      </c>
      <c r="CY71" s="152"/>
      <c r="CZ71" s="166"/>
      <c r="DA71" s="175">
        <f t="shared" si="48"/>
        <v>90</v>
      </c>
      <c r="DB71" s="178">
        <f t="shared" si="49"/>
        <v>2780</v>
      </c>
      <c r="DC71" s="155">
        <f t="shared" si="50"/>
        <v>0</v>
      </c>
      <c r="DD71" s="155">
        <f t="shared" si="51"/>
        <v>10195</v>
      </c>
      <c r="DE71" s="155">
        <f t="shared" si="52"/>
        <v>76842</v>
      </c>
      <c r="DF71" s="155">
        <f t="shared" si="53"/>
        <v>0</v>
      </c>
      <c r="DG71" s="155">
        <f t="shared" si="54"/>
        <v>0</v>
      </c>
      <c r="DH71" s="155">
        <f t="shared" si="55"/>
        <v>90</v>
      </c>
      <c r="DI71" s="179">
        <v>0</v>
      </c>
      <c r="DJ71" s="179">
        <v>0</v>
      </c>
      <c r="DK71" s="155">
        <f t="shared" si="56"/>
        <v>0</v>
      </c>
      <c r="DL71" s="180">
        <v>0</v>
      </c>
      <c r="DM71" s="181">
        <f t="shared" si="57"/>
        <v>0.11339495256209194</v>
      </c>
      <c r="DN71" s="182"/>
      <c r="DO71" s="183">
        <f t="shared" si="58"/>
        <v>79712</v>
      </c>
      <c r="DP71" s="184">
        <f t="shared" si="59"/>
        <v>10195</v>
      </c>
    </row>
    <row r="72" spans="1:120">
      <c r="A72" s="196"/>
      <c r="B72" s="326">
        <f t="shared" si="60"/>
        <v>44743</v>
      </c>
      <c r="C72" s="150">
        <v>44685</v>
      </c>
      <c r="D72" s="147">
        <v>1000</v>
      </c>
      <c r="E72" s="148">
        <v>10575</v>
      </c>
      <c r="F72" s="149"/>
      <c r="G72" s="148"/>
      <c r="H72" s="150"/>
      <c r="I72" s="147">
        <v>195</v>
      </c>
      <c r="J72" s="150"/>
      <c r="K72" s="150"/>
      <c r="L72" s="150">
        <v>1325</v>
      </c>
      <c r="M72" s="147">
        <v>2280</v>
      </c>
      <c r="N72" s="151">
        <v>300</v>
      </c>
      <c r="O72" s="149">
        <v>12780</v>
      </c>
      <c r="P72" s="152">
        <v>750</v>
      </c>
      <c r="Q72" s="152"/>
      <c r="R72" s="151"/>
      <c r="S72" s="152"/>
      <c r="T72" s="151"/>
      <c r="U72" s="153"/>
      <c r="V72" s="154"/>
      <c r="W72" s="155"/>
      <c r="X72" s="156"/>
      <c r="Y72" s="152">
        <v>900</v>
      </c>
      <c r="Z72" s="152"/>
      <c r="AA72" s="153"/>
      <c r="AB72" s="154"/>
      <c r="AC72" s="153">
        <v>5040</v>
      </c>
      <c r="AD72" s="154">
        <v>2000</v>
      </c>
      <c r="AE72" s="151">
        <v>2000</v>
      </c>
      <c r="AF72" s="151"/>
      <c r="AG72" s="155"/>
      <c r="AH72" s="153"/>
      <c r="AI72" s="154"/>
      <c r="AJ72" s="157"/>
      <c r="AK72" s="158">
        <v>250</v>
      </c>
      <c r="AL72" s="158"/>
      <c r="AM72" s="158"/>
      <c r="AN72" s="159"/>
      <c r="AO72" s="160">
        <f t="shared" si="61"/>
        <v>83780</v>
      </c>
      <c r="AP72" s="161"/>
      <c r="AQ72" s="161">
        <f t="shared" si="62"/>
        <v>0</v>
      </c>
      <c r="AR72" s="161">
        <f t="shared" si="63"/>
        <v>300</v>
      </c>
      <c r="AS72" s="162">
        <v>137372</v>
      </c>
      <c r="AT72" s="163">
        <f t="shared" si="42"/>
        <v>1.6338249286393911</v>
      </c>
      <c r="AU72" s="164">
        <v>1260</v>
      </c>
      <c r="AV72" s="165">
        <v>8010</v>
      </c>
      <c r="AW72" s="152"/>
      <c r="AX72" s="156">
        <v>5100</v>
      </c>
      <c r="AY72" s="156"/>
      <c r="AZ72" s="156"/>
      <c r="BA72" s="166">
        <v>200</v>
      </c>
      <c r="BB72" s="167">
        <f t="shared" si="43"/>
        <v>14570</v>
      </c>
      <c r="BC72" s="168"/>
      <c r="BD72" s="167">
        <f t="shared" si="44"/>
        <v>0</v>
      </c>
      <c r="BE72" s="169"/>
      <c r="BF72" s="170">
        <v>2000</v>
      </c>
      <c r="BG72" s="171">
        <v>500</v>
      </c>
      <c r="BH72" s="171">
        <v>1975</v>
      </c>
      <c r="BI72" s="172"/>
      <c r="BJ72" s="173">
        <f t="shared" si="45"/>
        <v>4475</v>
      </c>
      <c r="BK72" s="169"/>
      <c r="BL72" s="171">
        <v>3060</v>
      </c>
      <c r="BM72" s="171">
        <v>4000</v>
      </c>
      <c r="BN72" s="171"/>
      <c r="BO72" s="171"/>
      <c r="BP72" s="174">
        <v>2400</v>
      </c>
      <c r="BQ72" s="172"/>
      <c r="BR72" s="175">
        <f t="shared" si="46"/>
        <v>9460</v>
      </c>
      <c r="BS72" s="164"/>
      <c r="BT72" s="165">
        <v>20</v>
      </c>
      <c r="BU72" s="165"/>
      <c r="BV72" s="246"/>
      <c r="BW72" s="246"/>
      <c r="BX72" s="246">
        <v>360</v>
      </c>
      <c r="BY72" s="247">
        <v>320</v>
      </c>
      <c r="BZ72" s="247"/>
      <c r="CA72" s="152"/>
      <c r="CB72" s="152"/>
      <c r="CC72" s="165"/>
      <c r="CD72" s="152"/>
      <c r="CE72" s="165"/>
      <c r="CF72" s="152"/>
      <c r="CG72" s="152"/>
      <c r="CH72" s="247"/>
      <c r="CI72" s="247"/>
      <c r="CJ72" s="247"/>
      <c r="CK72" s="152">
        <v>600</v>
      </c>
      <c r="CL72" s="166">
        <v>80</v>
      </c>
      <c r="CM72" s="176">
        <f t="shared" si="47"/>
        <v>1380</v>
      </c>
      <c r="CN72" s="177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>
        <v>50</v>
      </c>
      <c r="CY72" s="152"/>
      <c r="CZ72" s="166"/>
      <c r="DA72" s="175">
        <f t="shared" si="48"/>
        <v>50</v>
      </c>
      <c r="DB72" s="186">
        <f t="shared" si="49"/>
        <v>1380</v>
      </c>
      <c r="DC72" s="187">
        <f t="shared" si="50"/>
        <v>0</v>
      </c>
      <c r="DD72" s="187">
        <f t="shared" si="51"/>
        <v>13935</v>
      </c>
      <c r="DE72" s="187">
        <f t="shared" si="52"/>
        <v>88151</v>
      </c>
      <c r="DF72" s="187">
        <f t="shared" si="53"/>
        <v>0</v>
      </c>
      <c r="DG72" s="187">
        <f t="shared" si="54"/>
        <v>300</v>
      </c>
      <c r="DH72" s="187">
        <f t="shared" si="55"/>
        <v>50</v>
      </c>
      <c r="DI72" s="188">
        <v>0</v>
      </c>
      <c r="DJ72" s="188">
        <v>0</v>
      </c>
      <c r="DK72" s="187">
        <f t="shared" si="56"/>
        <v>0</v>
      </c>
      <c r="DL72" s="189">
        <v>0</v>
      </c>
      <c r="DM72" s="190">
        <f t="shared" si="57"/>
        <v>0.13711759266394391</v>
      </c>
      <c r="DN72" s="182"/>
      <c r="DO72" s="183">
        <f t="shared" si="58"/>
        <v>89581</v>
      </c>
      <c r="DP72" s="184">
        <f t="shared" si="59"/>
        <v>14235</v>
      </c>
    </row>
    <row r="73" spans="1:120">
      <c r="A73" s="146"/>
      <c r="B73" s="318">
        <f t="shared" si="60"/>
        <v>44774</v>
      </c>
      <c r="C73" s="150">
        <v>41310</v>
      </c>
      <c r="D73" s="147">
        <v>2500</v>
      </c>
      <c r="E73" s="148">
        <v>10680</v>
      </c>
      <c r="F73" s="149"/>
      <c r="G73" s="148"/>
      <c r="H73" s="150"/>
      <c r="I73" s="147">
        <v>240</v>
      </c>
      <c r="J73" s="150"/>
      <c r="K73" s="150"/>
      <c r="L73" s="150">
        <v>1425</v>
      </c>
      <c r="M73" s="147">
        <v>1410</v>
      </c>
      <c r="N73" s="151">
        <v>570</v>
      </c>
      <c r="O73" s="149">
        <v>11070</v>
      </c>
      <c r="P73" s="152">
        <v>300</v>
      </c>
      <c r="Q73" s="152"/>
      <c r="R73" s="151"/>
      <c r="S73" s="152"/>
      <c r="T73" s="151">
        <v>140</v>
      </c>
      <c r="U73" s="153"/>
      <c r="V73" s="154"/>
      <c r="W73" s="155"/>
      <c r="X73" s="156"/>
      <c r="Y73" s="152">
        <v>400</v>
      </c>
      <c r="Z73" s="152"/>
      <c r="AA73" s="153"/>
      <c r="AB73" s="154"/>
      <c r="AC73" s="153">
        <v>2520</v>
      </c>
      <c r="AD73" s="154">
        <v>1500</v>
      </c>
      <c r="AE73" s="151">
        <v>2000</v>
      </c>
      <c r="AF73" s="151"/>
      <c r="AG73" s="155"/>
      <c r="AH73" s="153"/>
      <c r="AI73" s="154"/>
      <c r="AJ73" s="157"/>
      <c r="AK73" s="158"/>
      <c r="AL73" s="158"/>
      <c r="AM73" s="158">
        <v>340</v>
      </c>
      <c r="AN73" s="159"/>
      <c r="AO73" s="160">
        <f t="shared" si="61"/>
        <v>75495</v>
      </c>
      <c r="AP73" s="161"/>
      <c r="AQ73" s="161">
        <f t="shared" si="62"/>
        <v>340</v>
      </c>
      <c r="AR73" s="161">
        <f t="shared" si="63"/>
        <v>570</v>
      </c>
      <c r="AS73" s="162">
        <v>116247</v>
      </c>
      <c r="AT73" s="163">
        <f t="shared" si="42"/>
        <v>1.5214580197631045</v>
      </c>
      <c r="AU73" s="164">
        <v>1440</v>
      </c>
      <c r="AV73" s="165">
        <v>10590</v>
      </c>
      <c r="AW73" s="152">
        <v>300</v>
      </c>
      <c r="AX73" s="156">
        <v>5500</v>
      </c>
      <c r="AY73" s="156">
        <v>1350</v>
      </c>
      <c r="AZ73" s="156">
        <v>280</v>
      </c>
      <c r="BA73" s="166">
        <v>560</v>
      </c>
      <c r="BB73" s="167">
        <f t="shared" si="43"/>
        <v>20020</v>
      </c>
      <c r="BC73" s="168">
        <v>180</v>
      </c>
      <c r="BD73" s="167">
        <f t="shared" si="44"/>
        <v>180</v>
      </c>
      <c r="BE73" s="169"/>
      <c r="BF73" s="170"/>
      <c r="BG73" s="171"/>
      <c r="BH73" s="171">
        <v>1700</v>
      </c>
      <c r="BI73" s="172"/>
      <c r="BJ73" s="173">
        <f t="shared" si="45"/>
        <v>1700</v>
      </c>
      <c r="BK73" s="169"/>
      <c r="BL73" s="171">
        <v>1120</v>
      </c>
      <c r="BM73" s="171">
        <v>2400</v>
      </c>
      <c r="BN73" s="171"/>
      <c r="BO73" s="171"/>
      <c r="BP73" s="174">
        <v>1600</v>
      </c>
      <c r="BQ73" s="172"/>
      <c r="BR73" s="175">
        <f t="shared" si="46"/>
        <v>5120</v>
      </c>
      <c r="BS73" s="164">
        <v>120</v>
      </c>
      <c r="BT73" s="165">
        <v>60</v>
      </c>
      <c r="BU73" s="165"/>
      <c r="BV73" s="246"/>
      <c r="BW73" s="246"/>
      <c r="BX73" s="246">
        <v>700</v>
      </c>
      <c r="BY73" s="247">
        <v>640</v>
      </c>
      <c r="BZ73" s="247">
        <v>40</v>
      </c>
      <c r="CA73" s="152"/>
      <c r="CB73" s="152"/>
      <c r="CC73" s="165"/>
      <c r="CD73" s="152"/>
      <c r="CE73" s="165"/>
      <c r="CF73" s="152"/>
      <c r="CG73" s="152"/>
      <c r="CH73" s="247"/>
      <c r="CI73" s="247"/>
      <c r="CJ73" s="247"/>
      <c r="CK73" s="152">
        <v>820</v>
      </c>
      <c r="CL73" s="166">
        <v>280</v>
      </c>
      <c r="CM73" s="176">
        <f t="shared" si="47"/>
        <v>2660</v>
      </c>
      <c r="CN73" s="177"/>
      <c r="CO73" s="152"/>
      <c r="CP73" s="152">
        <v>25</v>
      </c>
      <c r="CQ73" s="152"/>
      <c r="CR73" s="152"/>
      <c r="CS73" s="152">
        <v>50</v>
      </c>
      <c r="CT73" s="152"/>
      <c r="CU73" s="152"/>
      <c r="CV73" s="152"/>
      <c r="CW73" s="152"/>
      <c r="CX73" s="152">
        <v>50</v>
      </c>
      <c r="CY73" s="152"/>
      <c r="CZ73" s="166"/>
      <c r="DA73" s="175">
        <f t="shared" si="48"/>
        <v>125</v>
      </c>
      <c r="DB73" s="178">
        <f t="shared" si="49"/>
        <v>2660</v>
      </c>
      <c r="DC73" s="155">
        <f t="shared" si="50"/>
        <v>0</v>
      </c>
      <c r="DD73" s="155">
        <f t="shared" si="51"/>
        <v>6820</v>
      </c>
      <c r="DE73" s="155">
        <f t="shared" si="52"/>
        <v>81501</v>
      </c>
      <c r="DF73" s="155">
        <f t="shared" si="53"/>
        <v>0</v>
      </c>
      <c r="DG73" s="155">
        <f t="shared" si="54"/>
        <v>570</v>
      </c>
      <c r="DH73" s="155">
        <f t="shared" si="55"/>
        <v>125</v>
      </c>
      <c r="DI73" s="179">
        <v>0</v>
      </c>
      <c r="DJ73" s="179">
        <v>0</v>
      </c>
      <c r="DK73" s="155">
        <f t="shared" si="56"/>
        <v>394</v>
      </c>
      <c r="DL73" s="180">
        <v>0</v>
      </c>
      <c r="DM73" s="181">
        <f t="shared" si="57"/>
        <v>8.4544368415336163E-2</v>
      </c>
      <c r="DN73" s="182"/>
      <c r="DO73" s="183">
        <f t="shared" si="58"/>
        <v>84286</v>
      </c>
      <c r="DP73" s="184">
        <f t="shared" si="59"/>
        <v>7784</v>
      </c>
    </row>
    <row r="74" spans="1:120">
      <c r="A74" s="146"/>
      <c r="B74" s="318">
        <f t="shared" si="60"/>
        <v>44805</v>
      </c>
      <c r="C74" s="150">
        <v>40650</v>
      </c>
      <c r="D74" s="147">
        <v>500</v>
      </c>
      <c r="E74" s="148">
        <v>9345</v>
      </c>
      <c r="F74" s="149"/>
      <c r="G74" s="148"/>
      <c r="H74" s="150"/>
      <c r="I74" s="147">
        <v>450</v>
      </c>
      <c r="J74" s="150"/>
      <c r="K74" s="150"/>
      <c r="L74" s="150">
        <v>1525</v>
      </c>
      <c r="M74" s="147">
        <v>1845</v>
      </c>
      <c r="N74" s="151"/>
      <c r="O74" s="149">
        <v>8070</v>
      </c>
      <c r="P74" s="152">
        <v>125</v>
      </c>
      <c r="Q74" s="152"/>
      <c r="R74" s="151"/>
      <c r="S74" s="152"/>
      <c r="T74" s="151">
        <v>200</v>
      </c>
      <c r="U74" s="153"/>
      <c r="V74" s="154"/>
      <c r="W74" s="155"/>
      <c r="X74" s="156"/>
      <c r="Y74" s="152">
        <v>250</v>
      </c>
      <c r="Z74" s="152"/>
      <c r="AA74" s="153"/>
      <c r="AB74" s="154"/>
      <c r="AC74" s="153">
        <v>3780</v>
      </c>
      <c r="AD74" s="154">
        <v>1500</v>
      </c>
      <c r="AE74" s="151"/>
      <c r="AF74" s="151"/>
      <c r="AG74" s="155"/>
      <c r="AH74" s="153"/>
      <c r="AI74" s="154"/>
      <c r="AJ74" s="157"/>
      <c r="AK74" s="158">
        <v>1000</v>
      </c>
      <c r="AL74" s="158"/>
      <c r="AM74" s="158">
        <v>320</v>
      </c>
      <c r="AN74" s="159"/>
      <c r="AO74" s="160">
        <f t="shared" si="61"/>
        <v>69240</v>
      </c>
      <c r="AP74" s="161"/>
      <c r="AQ74" s="161">
        <f t="shared" si="62"/>
        <v>320</v>
      </c>
      <c r="AR74" s="161">
        <f t="shared" si="63"/>
        <v>0</v>
      </c>
      <c r="AS74" s="162">
        <v>121539</v>
      </c>
      <c r="AT74" s="163">
        <f t="shared" si="42"/>
        <v>1.7472541690626797</v>
      </c>
      <c r="AU74" s="164">
        <v>1440</v>
      </c>
      <c r="AV74" s="165">
        <v>6750</v>
      </c>
      <c r="AW74" s="152">
        <v>330</v>
      </c>
      <c r="AX74" s="156">
        <v>3750</v>
      </c>
      <c r="AY74" s="156">
        <v>150</v>
      </c>
      <c r="AZ74" s="156">
        <v>120</v>
      </c>
      <c r="BA74" s="166">
        <v>240</v>
      </c>
      <c r="BB74" s="167">
        <f t="shared" si="43"/>
        <v>12780</v>
      </c>
      <c r="BC74" s="168">
        <v>240</v>
      </c>
      <c r="BD74" s="167">
        <f t="shared" si="44"/>
        <v>240</v>
      </c>
      <c r="BE74" s="169"/>
      <c r="BF74" s="170">
        <v>1500</v>
      </c>
      <c r="BG74" s="171">
        <v>500</v>
      </c>
      <c r="BH74" s="171">
        <v>925</v>
      </c>
      <c r="BI74" s="172"/>
      <c r="BJ74" s="173">
        <f t="shared" si="45"/>
        <v>2925</v>
      </c>
      <c r="BK74" s="169"/>
      <c r="BL74" s="171">
        <v>1840</v>
      </c>
      <c r="BM74" s="171">
        <v>2400</v>
      </c>
      <c r="BN74" s="171"/>
      <c r="BO74" s="171"/>
      <c r="BP74" s="174">
        <v>800</v>
      </c>
      <c r="BQ74" s="172"/>
      <c r="BR74" s="175">
        <f t="shared" si="46"/>
        <v>5040</v>
      </c>
      <c r="BS74" s="164">
        <v>20</v>
      </c>
      <c r="BT74" s="165"/>
      <c r="BU74" s="165"/>
      <c r="BV74" s="246">
        <v>40</v>
      </c>
      <c r="BW74" s="246"/>
      <c r="BX74" s="246">
        <v>760</v>
      </c>
      <c r="BY74" s="247">
        <v>500</v>
      </c>
      <c r="BZ74" s="247"/>
      <c r="CA74" s="152"/>
      <c r="CB74" s="152"/>
      <c r="CC74" s="165"/>
      <c r="CD74" s="152"/>
      <c r="CE74" s="165"/>
      <c r="CF74" s="152"/>
      <c r="CG74" s="152"/>
      <c r="CH74" s="247"/>
      <c r="CI74" s="247"/>
      <c r="CJ74" s="247"/>
      <c r="CK74" s="152">
        <v>320</v>
      </c>
      <c r="CL74" s="166">
        <v>160</v>
      </c>
      <c r="CM74" s="176">
        <f t="shared" si="47"/>
        <v>1800</v>
      </c>
      <c r="CN74" s="177"/>
      <c r="CO74" s="152"/>
      <c r="CP74" s="152">
        <v>25</v>
      </c>
      <c r="CQ74" s="152"/>
      <c r="CR74" s="152"/>
      <c r="CS74" s="152"/>
      <c r="CT74" s="152"/>
      <c r="CU74" s="152"/>
      <c r="CV74" s="152"/>
      <c r="CW74" s="152"/>
      <c r="CX74" s="152"/>
      <c r="CY74" s="152"/>
      <c r="CZ74" s="166">
        <v>50</v>
      </c>
      <c r="DA74" s="175">
        <f t="shared" si="48"/>
        <v>75</v>
      </c>
      <c r="DB74" s="186">
        <f t="shared" si="49"/>
        <v>1800</v>
      </c>
      <c r="DC74" s="187">
        <f t="shared" si="50"/>
        <v>0</v>
      </c>
      <c r="DD74" s="187">
        <f t="shared" si="51"/>
        <v>7965</v>
      </c>
      <c r="DE74" s="187">
        <f t="shared" si="52"/>
        <v>73074</v>
      </c>
      <c r="DF74" s="187">
        <f t="shared" si="53"/>
        <v>0</v>
      </c>
      <c r="DG74" s="187">
        <f t="shared" si="54"/>
        <v>0</v>
      </c>
      <c r="DH74" s="187">
        <f t="shared" si="55"/>
        <v>75</v>
      </c>
      <c r="DI74" s="188">
        <v>0</v>
      </c>
      <c r="DJ74" s="188">
        <v>0</v>
      </c>
      <c r="DK74" s="187">
        <f t="shared" si="56"/>
        <v>392</v>
      </c>
      <c r="DL74" s="189">
        <v>0</v>
      </c>
      <c r="DM74" s="190">
        <f t="shared" si="57"/>
        <v>0.10031690394449379</v>
      </c>
      <c r="DN74" s="182"/>
      <c r="DO74" s="183">
        <f t="shared" si="58"/>
        <v>74949</v>
      </c>
      <c r="DP74" s="184">
        <f t="shared" si="59"/>
        <v>8357</v>
      </c>
    </row>
    <row r="75" spans="1:120">
      <c r="A75" s="146"/>
      <c r="B75" s="318">
        <f t="shared" si="60"/>
        <v>44835</v>
      </c>
      <c r="C75" s="150">
        <v>41535</v>
      </c>
      <c r="D75" s="147">
        <v>3000</v>
      </c>
      <c r="E75" s="148">
        <v>8910</v>
      </c>
      <c r="F75" s="149"/>
      <c r="G75" s="148"/>
      <c r="H75" s="150"/>
      <c r="I75" s="147">
        <v>750</v>
      </c>
      <c r="J75" s="150"/>
      <c r="K75" s="150"/>
      <c r="L75" s="150">
        <v>1375</v>
      </c>
      <c r="M75" s="147">
        <v>1485</v>
      </c>
      <c r="N75" s="151"/>
      <c r="O75" s="149">
        <v>5730</v>
      </c>
      <c r="P75" s="152">
        <v>125</v>
      </c>
      <c r="Q75" s="152"/>
      <c r="R75" s="151"/>
      <c r="S75" s="152"/>
      <c r="T75" s="151">
        <v>140</v>
      </c>
      <c r="U75" s="153"/>
      <c r="V75" s="154"/>
      <c r="W75" s="155"/>
      <c r="X75" s="156"/>
      <c r="Y75" s="152">
        <v>1000</v>
      </c>
      <c r="Z75" s="152"/>
      <c r="AA75" s="153"/>
      <c r="AB75" s="154"/>
      <c r="AC75" s="153">
        <v>3780</v>
      </c>
      <c r="AD75" s="154">
        <v>2000</v>
      </c>
      <c r="AE75" s="151"/>
      <c r="AF75" s="151"/>
      <c r="AG75" s="155"/>
      <c r="AH75" s="153"/>
      <c r="AI75" s="154">
        <v>1000</v>
      </c>
      <c r="AJ75" s="157"/>
      <c r="AK75" s="158"/>
      <c r="AL75" s="158"/>
      <c r="AM75" s="158">
        <v>500</v>
      </c>
      <c r="AN75" s="159"/>
      <c r="AO75" s="160">
        <f t="shared" si="61"/>
        <v>70830</v>
      </c>
      <c r="AP75" s="161"/>
      <c r="AQ75" s="161">
        <f t="shared" si="62"/>
        <v>500</v>
      </c>
      <c r="AR75" s="161">
        <f t="shared" si="63"/>
        <v>0</v>
      </c>
      <c r="AS75" s="162">
        <v>119280</v>
      </c>
      <c r="AT75" s="163">
        <f t="shared" si="42"/>
        <v>1.6722276741903828</v>
      </c>
      <c r="AU75" s="164">
        <v>1440</v>
      </c>
      <c r="AV75" s="165">
        <v>10230</v>
      </c>
      <c r="AW75" s="152">
        <v>240</v>
      </c>
      <c r="AX75" s="156">
        <v>6200</v>
      </c>
      <c r="AY75" s="156"/>
      <c r="AZ75" s="156"/>
      <c r="BA75" s="166"/>
      <c r="BB75" s="167">
        <f t="shared" si="43"/>
        <v>18110</v>
      </c>
      <c r="BC75" s="168">
        <v>180</v>
      </c>
      <c r="BD75" s="167">
        <f t="shared" si="44"/>
        <v>180</v>
      </c>
      <c r="BE75" s="169"/>
      <c r="BF75" s="170"/>
      <c r="BG75" s="171"/>
      <c r="BH75" s="171">
        <v>1200</v>
      </c>
      <c r="BI75" s="172"/>
      <c r="BJ75" s="173">
        <f t="shared" si="45"/>
        <v>1200</v>
      </c>
      <c r="BK75" s="169"/>
      <c r="BL75" s="171">
        <v>1480</v>
      </c>
      <c r="BM75" s="171">
        <v>800</v>
      </c>
      <c r="BN75" s="171"/>
      <c r="BO75" s="171"/>
      <c r="BP75" s="174">
        <v>800</v>
      </c>
      <c r="BQ75" s="172"/>
      <c r="BR75" s="175">
        <f t="shared" si="46"/>
        <v>3080</v>
      </c>
      <c r="BS75" s="164">
        <v>80</v>
      </c>
      <c r="BT75" s="165">
        <v>60</v>
      </c>
      <c r="BU75" s="165"/>
      <c r="BV75" s="246">
        <v>60</v>
      </c>
      <c r="BW75" s="246">
        <v>80</v>
      </c>
      <c r="BX75" s="246">
        <v>760</v>
      </c>
      <c r="BY75" s="247">
        <v>380</v>
      </c>
      <c r="BZ75" s="247">
        <v>60</v>
      </c>
      <c r="CA75" s="152">
        <v>40</v>
      </c>
      <c r="CB75" s="152">
        <v>40</v>
      </c>
      <c r="CC75" s="165"/>
      <c r="CD75" s="152"/>
      <c r="CE75" s="165"/>
      <c r="CF75" s="152"/>
      <c r="CG75" s="152"/>
      <c r="CH75" s="247"/>
      <c r="CI75" s="247"/>
      <c r="CJ75" s="247"/>
      <c r="CK75" s="152">
        <v>740</v>
      </c>
      <c r="CL75" s="166">
        <v>240</v>
      </c>
      <c r="CM75" s="176">
        <f t="shared" si="47"/>
        <v>2540</v>
      </c>
      <c r="CN75" s="177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66"/>
      <c r="DA75" s="175">
        <f t="shared" si="48"/>
        <v>0</v>
      </c>
      <c r="DB75" s="178">
        <f t="shared" si="49"/>
        <v>2460</v>
      </c>
      <c r="DC75" s="155">
        <f t="shared" si="50"/>
        <v>80</v>
      </c>
      <c r="DD75" s="155">
        <f t="shared" si="51"/>
        <v>4280</v>
      </c>
      <c r="DE75" s="155">
        <f t="shared" si="52"/>
        <v>76263</v>
      </c>
      <c r="DF75" s="155">
        <f t="shared" si="53"/>
        <v>0</v>
      </c>
      <c r="DG75" s="155">
        <f t="shared" si="54"/>
        <v>0</v>
      </c>
      <c r="DH75" s="155">
        <f t="shared" si="55"/>
        <v>0</v>
      </c>
      <c r="DI75" s="179">
        <v>0</v>
      </c>
      <c r="DJ75" s="179">
        <v>0</v>
      </c>
      <c r="DK75" s="155">
        <f t="shared" si="56"/>
        <v>554</v>
      </c>
      <c r="DL75" s="180">
        <v>0</v>
      </c>
      <c r="DM75" s="181">
        <f t="shared" si="57"/>
        <v>5.8753900785537501E-2</v>
      </c>
      <c r="DN75" s="182"/>
      <c r="DO75" s="183">
        <f t="shared" si="58"/>
        <v>78723</v>
      </c>
      <c r="DP75" s="184">
        <f t="shared" si="59"/>
        <v>4914</v>
      </c>
    </row>
    <row r="76" spans="1:120">
      <c r="A76" s="146"/>
      <c r="B76" s="318">
        <f t="shared" si="60"/>
        <v>44866</v>
      </c>
      <c r="C76" s="150">
        <v>46290</v>
      </c>
      <c r="D76" s="147">
        <v>1500</v>
      </c>
      <c r="E76" s="148">
        <v>8385</v>
      </c>
      <c r="F76" s="149"/>
      <c r="G76" s="148"/>
      <c r="H76" s="150"/>
      <c r="I76" s="147">
        <v>75</v>
      </c>
      <c r="J76" s="150"/>
      <c r="K76" s="150"/>
      <c r="L76" s="150">
        <v>1825</v>
      </c>
      <c r="M76" s="147">
        <v>1230</v>
      </c>
      <c r="N76" s="151">
        <v>195</v>
      </c>
      <c r="O76" s="149">
        <v>5565</v>
      </c>
      <c r="P76" s="152"/>
      <c r="Q76" s="152"/>
      <c r="R76" s="151"/>
      <c r="S76" s="152">
        <v>100</v>
      </c>
      <c r="T76" s="151">
        <v>140</v>
      </c>
      <c r="U76" s="153"/>
      <c r="V76" s="154"/>
      <c r="W76" s="155"/>
      <c r="X76" s="156"/>
      <c r="Y76" s="152">
        <v>425</v>
      </c>
      <c r="Z76" s="152"/>
      <c r="AA76" s="153"/>
      <c r="AB76" s="154"/>
      <c r="AC76" s="153">
        <v>2520</v>
      </c>
      <c r="AD76" s="154">
        <v>2000</v>
      </c>
      <c r="AE76" s="151">
        <v>2000</v>
      </c>
      <c r="AF76" s="151"/>
      <c r="AG76" s="155"/>
      <c r="AH76" s="153"/>
      <c r="AI76" s="154"/>
      <c r="AJ76" s="157"/>
      <c r="AK76" s="158"/>
      <c r="AL76" s="158"/>
      <c r="AM76" s="158"/>
      <c r="AN76" s="159"/>
      <c r="AO76" s="160">
        <f t="shared" si="61"/>
        <v>72055</v>
      </c>
      <c r="AP76" s="161"/>
      <c r="AQ76" s="161">
        <f t="shared" si="62"/>
        <v>0</v>
      </c>
      <c r="AR76" s="161">
        <f t="shared" si="63"/>
        <v>195</v>
      </c>
      <c r="AS76" s="162">
        <v>107773</v>
      </c>
      <c r="AT76" s="163">
        <f t="shared" si="42"/>
        <v>1.4916678200692042</v>
      </c>
      <c r="AU76" s="164">
        <v>1320</v>
      </c>
      <c r="AV76" s="165">
        <v>8790</v>
      </c>
      <c r="AW76" s="152"/>
      <c r="AX76" s="156">
        <v>2750</v>
      </c>
      <c r="AY76" s="156">
        <v>350</v>
      </c>
      <c r="AZ76" s="156"/>
      <c r="BA76" s="166"/>
      <c r="BB76" s="167">
        <f t="shared" si="43"/>
        <v>13210</v>
      </c>
      <c r="BC76" s="168"/>
      <c r="BD76" s="167">
        <f t="shared" si="44"/>
        <v>0</v>
      </c>
      <c r="BE76" s="169"/>
      <c r="BF76" s="170">
        <v>500</v>
      </c>
      <c r="BG76" s="171"/>
      <c r="BH76" s="171">
        <v>350</v>
      </c>
      <c r="BI76" s="172"/>
      <c r="BJ76" s="173">
        <f t="shared" si="45"/>
        <v>850</v>
      </c>
      <c r="BK76" s="169"/>
      <c r="BL76" s="171">
        <v>1280</v>
      </c>
      <c r="BM76" s="171">
        <v>1600</v>
      </c>
      <c r="BN76" s="171"/>
      <c r="BO76" s="171"/>
      <c r="BP76" s="174">
        <v>800</v>
      </c>
      <c r="BQ76" s="172"/>
      <c r="BR76" s="175">
        <f t="shared" si="46"/>
        <v>3680</v>
      </c>
      <c r="BS76" s="164">
        <v>20</v>
      </c>
      <c r="BT76" s="165">
        <v>260</v>
      </c>
      <c r="BU76" s="165"/>
      <c r="BV76" s="246"/>
      <c r="BW76" s="246"/>
      <c r="BX76" s="246">
        <v>780</v>
      </c>
      <c r="BY76" s="247">
        <v>340</v>
      </c>
      <c r="BZ76" s="247"/>
      <c r="CA76" s="152"/>
      <c r="CB76" s="152"/>
      <c r="CC76" s="165"/>
      <c r="CD76" s="152"/>
      <c r="CE76" s="165"/>
      <c r="CF76" s="152"/>
      <c r="CG76" s="152"/>
      <c r="CH76" s="247"/>
      <c r="CI76" s="247"/>
      <c r="CJ76" s="247"/>
      <c r="CK76" s="152">
        <v>520</v>
      </c>
      <c r="CL76" s="166">
        <v>140</v>
      </c>
      <c r="CM76" s="176">
        <f t="shared" si="47"/>
        <v>2060</v>
      </c>
      <c r="CN76" s="177"/>
      <c r="CO76" s="152"/>
      <c r="CP76" s="152"/>
      <c r="CQ76" s="152"/>
      <c r="CR76" s="152"/>
      <c r="CS76" s="152"/>
      <c r="CT76" s="152"/>
      <c r="CU76" s="152"/>
      <c r="CV76" s="152">
        <v>30</v>
      </c>
      <c r="CW76" s="152"/>
      <c r="CX76" s="152">
        <v>30</v>
      </c>
      <c r="CY76" s="152"/>
      <c r="CZ76" s="166"/>
      <c r="DA76" s="175">
        <f t="shared" si="48"/>
        <v>60</v>
      </c>
      <c r="DB76" s="186">
        <f t="shared" si="49"/>
        <v>2060</v>
      </c>
      <c r="DC76" s="187">
        <f t="shared" si="50"/>
        <v>0</v>
      </c>
      <c r="DD76" s="187">
        <f t="shared" si="51"/>
        <v>4530</v>
      </c>
      <c r="DE76" s="187">
        <f t="shared" si="52"/>
        <v>76018</v>
      </c>
      <c r="DF76" s="187">
        <f t="shared" si="53"/>
        <v>0</v>
      </c>
      <c r="DG76" s="187">
        <f t="shared" si="54"/>
        <v>195</v>
      </c>
      <c r="DH76" s="187">
        <f t="shared" si="55"/>
        <v>60</v>
      </c>
      <c r="DI76" s="188">
        <v>0</v>
      </c>
      <c r="DJ76" s="188">
        <v>0</v>
      </c>
      <c r="DK76" s="187">
        <f t="shared" si="56"/>
        <v>0</v>
      </c>
      <c r="DL76" s="189">
        <v>0</v>
      </c>
      <c r="DM76" s="190">
        <f t="shared" si="57"/>
        <v>5.7021831215379605E-2</v>
      </c>
      <c r="DN76" s="182"/>
      <c r="DO76" s="183">
        <f t="shared" si="58"/>
        <v>78138</v>
      </c>
      <c r="DP76" s="184">
        <f t="shared" si="59"/>
        <v>4725</v>
      </c>
    </row>
    <row r="77" spans="1:120">
      <c r="A77" s="146"/>
      <c r="B77" s="318">
        <f t="shared" si="60"/>
        <v>44896</v>
      </c>
      <c r="C77" s="150">
        <v>26220</v>
      </c>
      <c r="D77" s="147">
        <v>1500</v>
      </c>
      <c r="E77" s="148">
        <v>8670</v>
      </c>
      <c r="F77" s="149"/>
      <c r="G77" s="148"/>
      <c r="H77" s="150"/>
      <c r="I77" s="147">
        <v>720</v>
      </c>
      <c r="J77" s="150"/>
      <c r="K77" s="150"/>
      <c r="L77" s="150">
        <v>1100</v>
      </c>
      <c r="M77" s="147">
        <v>1800</v>
      </c>
      <c r="N77" s="151"/>
      <c r="O77" s="149">
        <v>5445</v>
      </c>
      <c r="P77" s="152"/>
      <c r="Q77" s="152"/>
      <c r="R77" s="151"/>
      <c r="S77" s="152"/>
      <c r="T77" s="151">
        <v>160</v>
      </c>
      <c r="U77" s="153"/>
      <c r="V77" s="154"/>
      <c r="W77" s="155"/>
      <c r="X77" s="156"/>
      <c r="Y77" s="152">
        <v>400</v>
      </c>
      <c r="Z77" s="152"/>
      <c r="AA77" s="153"/>
      <c r="AB77" s="154"/>
      <c r="AC77" s="153">
        <v>3780</v>
      </c>
      <c r="AD77" s="154">
        <v>1000</v>
      </c>
      <c r="AE77" s="151"/>
      <c r="AF77" s="151"/>
      <c r="AG77" s="155"/>
      <c r="AH77" s="153"/>
      <c r="AI77" s="154"/>
      <c r="AJ77" s="157"/>
      <c r="AK77" s="158"/>
      <c r="AL77" s="158"/>
      <c r="AM77" s="158"/>
      <c r="AN77" s="159"/>
      <c r="AO77" s="160">
        <f t="shared" si="61"/>
        <v>50795</v>
      </c>
      <c r="AP77" s="161"/>
      <c r="AQ77" s="161">
        <f t="shared" si="62"/>
        <v>0</v>
      </c>
      <c r="AR77" s="161">
        <f t="shared" si="63"/>
        <v>0</v>
      </c>
      <c r="AS77" s="162">
        <v>101361</v>
      </c>
      <c r="AT77" s="163">
        <f t="shared" si="42"/>
        <v>1.9954916822521902</v>
      </c>
      <c r="AU77" s="164">
        <v>2220</v>
      </c>
      <c r="AV77" s="165">
        <v>6450</v>
      </c>
      <c r="AW77" s="152">
        <v>60</v>
      </c>
      <c r="AX77" s="156">
        <v>3100</v>
      </c>
      <c r="AY77" s="156">
        <v>100</v>
      </c>
      <c r="AZ77" s="156">
        <v>100</v>
      </c>
      <c r="BA77" s="166"/>
      <c r="BB77" s="167">
        <f t="shared" si="43"/>
        <v>12030</v>
      </c>
      <c r="BC77" s="168"/>
      <c r="BD77" s="167">
        <f t="shared" si="44"/>
        <v>0</v>
      </c>
      <c r="BE77" s="169"/>
      <c r="BF77" s="170"/>
      <c r="BG77" s="171"/>
      <c r="BH77" s="171">
        <v>1950</v>
      </c>
      <c r="BI77" s="172"/>
      <c r="BJ77" s="173">
        <f t="shared" si="45"/>
        <v>1950</v>
      </c>
      <c r="BK77" s="169"/>
      <c r="BL77" s="171">
        <v>2280</v>
      </c>
      <c r="BM77" s="171"/>
      <c r="BN77" s="171"/>
      <c r="BO77" s="171"/>
      <c r="BP77" s="174"/>
      <c r="BQ77" s="172"/>
      <c r="BR77" s="175">
        <f t="shared" si="46"/>
        <v>2280</v>
      </c>
      <c r="BS77" s="164"/>
      <c r="BT77" s="165"/>
      <c r="BU77" s="165"/>
      <c r="BV77" s="246"/>
      <c r="BW77" s="246"/>
      <c r="BX77" s="246">
        <v>480</v>
      </c>
      <c r="BY77" s="247">
        <v>180</v>
      </c>
      <c r="BZ77" s="247"/>
      <c r="CA77" s="152"/>
      <c r="CB77" s="152"/>
      <c r="CC77" s="165"/>
      <c r="CD77" s="152"/>
      <c r="CE77" s="165"/>
      <c r="CF77" s="152"/>
      <c r="CG77" s="152"/>
      <c r="CH77" s="247"/>
      <c r="CI77" s="247">
        <v>100</v>
      </c>
      <c r="CJ77" s="247"/>
      <c r="CK77" s="152">
        <v>220</v>
      </c>
      <c r="CL77" s="166"/>
      <c r="CM77" s="176">
        <f t="shared" si="47"/>
        <v>980</v>
      </c>
      <c r="CN77" s="177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66"/>
      <c r="DA77" s="175">
        <f t="shared" si="48"/>
        <v>0</v>
      </c>
      <c r="DB77" s="178">
        <f t="shared" si="49"/>
        <v>980</v>
      </c>
      <c r="DC77" s="155">
        <f t="shared" si="50"/>
        <v>0</v>
      </c>
      <c r="DD77" s="155">
        <f t="shared" si="51"/>
        <v>4230</v>
      </c>
      <c r="DE77" s="155">
        <f t="shared" si="52"/>
        <v>54404</v>
      </c>
      <c r="DF77" s="155">
        <f t="shared" si="53"/>
        <v>0</v>
      </c>
      <c r="DG77" s="155">
        <f t="shared" si="54"/>
        <v>0</v>
      </c>
      <c r="DH77" s="155">
        <f t="shared" si="55"/>
        <v>0</v>
      </c>
      <c r="DI77" s="179">
        <v>0</v>
      </c>
      <c r="DJ77" s="179">
        <v>0</v>
      </c>
      <c r="DK77" s="155">
        <f t="shared" si="56"/>
        <v>0</v>
      </c>
      <c r="DL77" s="180">
        <v>0</v>
      </c>
      <c r="DM77" s="181">
        <f t="shared" si="57"/>
        <v>7.0956486731304724E-2</v>
      </c>
      <c r="DN77" s="182"/>
      <c r="DO77" s="183">
        <f t="shared" si="58"/>
        <v>55384</v>
      </c>
      <c r="DP77" s="184">
        <f t="shared" si="59"/>
        <v>4230</v>
      </c>
    </row>
    <row r="78" spans="1:120">
      <c r="A78" s="146"/>
      <c r="B78" s="318">
        <f t="shared" si="60"/>
        <v>44927</v>
      </c>
      <c r="C78" s="150">
        <v>29235</v>
      </c>
      <c r="D78" s="147">
        <v>2000</v>
      </c>
      <c r="E78" s="148">
        <v>8595</v>
      </c>
      <c r="F78" s="149"/>
      <c r="G78" s="148"/>
      <c r="H78" s="150"/>
      <c r="I78" s="147"/>
      <c r="J78" s="150"/>
      <c r="K78" s="150"/>
      <c r="L78" s="150">
        <v>1050</v>
      </c>
      <c r="M78" s="147">
        <v>1770</v>
      </c>
      <c r="N78" s="151"/>
      <c r="O78" s="149">
        <v>4080</v>
      </c>
      <c r="P78" s="152">
        <v>262.5</v>
      </c>
      <c r="Q78" s="152"/>
      <c r="R78" s="151"/>
      <c r="S78" s="152"/>
      <c r="T78" s="151"/>
      <c r="U78" s="153"/>
      <c r="V78" s="154"/>
      <c r="W78" s="155"/>
      <c r="X78" s="156"/>
      <c r="Y78" s="152">
        <v>275</v>
      </c>
      <c r="Z78" s="152"/>
      <c r="AA78" s="153"/>
      <c r="AB78" s="154"/>
      <c r="AC78" s="153">
        <v>2520</v>
      </c>
      <c r="AD78" s="154">
        <v>500</v>
      </c>
      <c r="AE78" s="151"/>
      <c r="AF78" s="151">
        <v>6000</v>
      </c>
      <c r="AG78" s="155"/>
      <c r="AH78" s="153"/>
      <c r="AI78" s="154"/>
      <c r="AJ78" s="157"/>
      <c r="AK78" s="158"/>
      <c r="AL78" s="158"/>
      <c r="AM78" s="158"/>
      <c r="AN78" s="159"/>
      <c r="AO78" s="160">
        <f t="shared" si="61"/>
        <v>56287.5</v>
      </c>
      <c r="AP78" s="161"/>
      <c r="AQ78" s="161">
        <f t="shared" si="62"/>
        <v>0</v>
      </c>
      <c r="AR78" s="161">
        <f t="shared" si="63"/>
        <v>0</v>
      </c>
      <c r="AS78" s="162">
        <v>100160</v>
      </c>
      <c r="AT78" s="163">
        <f t="shared" si="42"/>
        <v>1.7794359316011548</v>
      </c>
      <c r="AU78" s="164">
        <v>720</v>
      </c>
      <c r="AV78" s="165">
        <v>4620</v>
      </c>
      <c r="AW78" s="152">
        <v>60</v>
      </c>
      <c r="AX78" s="156">
        <v>2850</v>
      </c>
      <c r="AY78" s="156">
        <v>200</v>
      </c>
      <c r="AZ78" s="156"/>
      <c r="BA78" s="166"/>
      <c r="BB78" s="167">
        <f t="shared" si="43"/>
        <v>8450</v>
      </c>
      <c r="BC78" s="168"/>
      <c r="BD78" s="167">
        <f t="shared" si="44"/>
        <v>0</v>
      </c>
      <c r="BE78" s="169"/>
      <c r="BF78" s="170"/>
      <c r="BG78" s="171">
        <v>2000</v>
      </c>
      <c r="BH78" s="171">
        <v>1675</v>
      </c>
      <c r="BI78" s="172"/>
      <c r="BJ78" s="173">
        <f t="shared" si="45"/>
        <v>3675</v>
      </c>
      <c r="BK78" s="169"/>
      <c r="BL78" s="171">
        <v>1120</v>
      </c>
      <c r="BM78" s="171">
        <v>800</v>
      </c>
      <c r="BN78" s="171">
        <v>1600</v>
      </c>
      <c r="BO78" s="171">
        <v>2500</v>
      </c>
      <c r="BP78" s="174"/>
      <c r="BQ78" s="172"/>
      <c r="BR78" s="175">
        <f t="shared" si="46"/>
        <v>6020</v>
      </c>
      <c r="BS78" s="164"/>
      <c r="BT78" s="165"/>
      <c r="BU78" s="165"/>
      <c r="BV78" s="246"/>
      <c r="BW78" s="246"/>
      <c r="BX78" s="246">
        <v>540</v>
      </c>
      <c r="BY78" s="247">
        <v>380</v>
      </c>
      <c r="BZ78" s="247">
        <v>20</v>
      </c>
      <c r="CA78" s="152">
        <v>40</v>
      </c>
      <c r="CB78" s="152">
        <v>40</v>
      </c>
      <c r="CC78" s="165"/>
      <c r="CD78" s="152"/>
      <c r="CE78" s="165"/>
      <c r="CF78" s="152"/>
      <c r="CG78" s="152"/>
      <c r="CH78" s="247"/>
      <c r="CI78" s="247"/>
      <c r="CJ78" s="247"/>
      <c r="CK78" s="152">
        <v>760</v>
      </c>
      <c r="CL78" s="166">
        <v>120</v>
      </c>
      <c r="CM78" s="176">
        <f t="shared" si="47"/>
        <v>1900</v>
      </c>
      <c r="CN78" s="177"/>
      <c r="CO78" s="152"/>
      <c r="CP78" s="152"/>
      <c r="CQ78" s="152"/>
      <c r="CR78" s="152"/>
      <c r="CS78" s="152">
        <v>90</v>
      </c>
      <c r="CT78" s="152">
        <v>100</v>
      </c>
      <c r="CU78" s="152"/>
      <c r="CV78" s="152"/>
      <c r="CW78" s="152"/>
      <c r="CX78" s="152"/>
      <c r="CY78" s="152"/>
      <c r="CZ78" s="166"/>
      <c r="DA78" s="175">
        <f t="shared" si="48"/>
        <v>190</v>
      </c>
      <c r="DB78" s="178">
        <f t="shared" si="49"/>
        <v>1820</v>
      </c>
      <c r="DC78" s="155">
        <f t="shared" si="50"/>
        <v>80</v>
      </c>
      <c r="DD78" s="155">
        <f t="shared" si="51"/>
        <v>9695</v>
      </c>
      <c r="DE78" s="155">
        <f t="shared" si="52"/>
        <v>58822.5</v>
      </c>
      <c r="DF78" s="155">
        <f t="shared" si="53"/>
        <v>0</v>
      </c>
      <c r="DG78" s="155">
        <f t="shared" si="54"/>
        <v>0</v>
      </c>
      <c r="DH78" s="155">
        <f t="shared" si="55"/>
        <v>190</v>
      </c>
      <c r="DI78" s="179">
        <v>0</v>
      </c>
      <c r="DJ78" s="179">
        <v>0</v>
      </c>
      <c r="DK78" s="155">
        <f t="shared" si="56"/>
        <v>0</v>
      </c>
      <c r="DL78" s="180">
        <v>0</v>
      </c>
      <c r="DM78" s="181">
        <f t="shared" si="57"/>
        <v>0.13844138370569697</v>
      </c>
      <c r="DN78" s="182"/>
      <c r="DO78" s="183">
        <f t="shared" si="58"/>
        <v>60832.5</v>
      </c>
      <c r="DP78" s="184">
        <f t="shared" si="59"/>
        <v>9775</v>
      </c>
    </row>
    <row r="79" spans="1:120">
      <c r="A79" s="146"/>
      <c r="B79" s="318">
        <f t="shared" si="60"/>
        <v>44958</v>
      </c>
      <c r="C79" s="150">
        <v>34815</v>
      </c>
      <c r="D79" s="147">
        <v>2000</v>
      </c>
      <c r="E79" s="148">
        <v>7485</v>
      </c>
      <c r="F79" s="149"/>
      <c r="G79" s="148"/>
      <c r="H79" s="150"/>
      <c r="I79" s="147">
        <v>150</v>
      </c>
      <c r="J79" s="150"/>
      <c r="K79" s="150"/>
      <c r="L79" s="150">
        <v>2250</v>
      </c>
      <c r="M79" s="147">
        <v>1770</v>
      </c>
      <c r="N79" s="151"/>
      <c r="O79" s="149">
        <v>4380</v>
      </c>
      <c r="P79" s="152">
        <v>250</v>
      </c>
      <c r="Q79" s="152"/>
      <c r="R79" s="151"/>
      <c r="S79" s="152"/>
      <c r="T79" s="151">
        <v>160</v>
      </c>
      <c r="U79" s="153"/>
      <c r="V79" s="154"/>
      <c r="W79" s="155"/>
      <c r="X79" s="156"/>
      <c r="Y79" s="152">
        <v>475</v>
      </c>
      <c r="Z79" s="152"/>
      <c r="AA79" s="153"/>
      <c r="AB79" s="154"/>
      <c r="AC79" s="153">
        <v>5040</v>
      </c>
      <c r="AD79" s="154">
        <v>1500</v>
      </c>
      <c r="AE79" s="151"/>
      <c r="AF79" s="151"/>
      <c r="AG79" s="155"/>
      <c r="AH79" s="153"/>
      <c r="AI79" s="154"/>
      <c r="AJ79" s="157"/>
      <c r="AK79" s="158"/>
      <c r="AL79" s="158"/>
      <c r="AM79" s="158">
        <v>440</v>
      </c>
      <c r="AN79" s="159"/>
      <c r="AO79" s="160">
        <f t="shared" si="61"/>
        <v>60275</v>
      </c>
      <c r="AP79" s="161"/>
      <c r="AQ79" s="161">
        <f t="shared" si="62"/>
        <v>440</v>
      </c>
      <c r="AR79" s="161">
        <f t="shared" si="63"/>
        <v>0</v>
      </c>
      <c r="AS79" s="162">
        <v>105370</v>
      </c>
      <c r="AT79" s="163">
        <f t="shared" si="42"/>
        <v>1.7354854648768838</v>
      </c>
      <c r="AU79" s="164">
        <v>900</v>
      </c>
      <c r="AV79" s="165">
        <v>6690</v>
      </c>
      <c r="AW79" s="152">
        <v>150</v>
      </c>
      <c r="AX79" s="156">
        <v>2600</v>
      </c>
      <c r="AY79" s="156">
        <v>650</v>
      </c>
      <c r="AZ79" s="156">
        <v>100</v>
      </c>
      <c r="BA79" s="166">
        <v>1000</v>
      </c>
      <c r="BB79" s="167">
        <f t="shared" si="43"/>
        <v>12090</v>
      </c>
      <c r="BC79" s="168">
        <v>240</v>
      </c>
      <c r="BD79" s="167">
        <f t="shared" si="44"/>
        <v>240</v>
      </c>
      <c r="BE79" s="169"/>
      <c r="BF79" s="170"/>
      <c r="BG79" s="171">
        <v>1000</v>
      </c>
      <c r="BH79" s="171">
        <v>200</v>
      </c>
      <c r="BI79" s="172"/>
      <c r="BJ79" s="173">
        <f t="shared" si="45"/>
        <v>1200</v>
      </c>
      <c r="BK79" s="169"/>
      <c r="BL79" s="171">
        <v>220</v>
      </c>
      <c r="BM79" s="171">
        <v>2400</v>
      </c>
      <c r="BN79" s="171">
        <v>2000</v>
      </c>
      <c r="BO79" s="171"/>
      <c r="BP79" s="174"/>
      <c r="BQ79" s="172"/>
      <c r="BR79" s="175">
        <f t="shared" si="46"/>
        <v>4620</v>
      </c>
      <c r="BS79" s="164">
        <v>60</v>
      </c>
      <c r="BT79" s="165">
        <v>80</v>
      </c>
      <c r="BU79" s="165"/>
      <c r="BV79" s="246"/>
      <c r="BW79" s="246"/>
      <c r="BX79" s="246">
        <v>580</v>
      </c>
      <c r="BY79" s="247">
        <v>340</v>
      </c>
      <c r="BZ79" s="247"/>
      <c r="CA79" s="152"/>
      <c r="CB79" s="152"/>
      <c r="CC79" s="165"/>
      <c r="CD79" s="152">
        <v>100</v>
      </c>
      <c r="CE79" s="165"/>
      <c r="CF79" s="152"/>
      <c r="CG79" s="152"/>
      <c r="CH79" s="247"/>
      <c r="CI79" s="247"/>
      <c r="CJ79" s="247"/>
      <c r="CK79" s="152">
        <v>400</v>
      </c>
      <c r="CL79" s="166">
        <v>80</v>
      </c>
      <c r="CM79" s="176">
        <f t="shared" si="47"/>
        <v>1640</v>
      </c>
      <c r="CN79" s="177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>
        <v>50</v>
      </c>
      <c r="CY79" s="152"/>
      <c r="CZ79" s="166"/>
      <c r="DA79" s="175">
        <f t="shared" si="48"/>
        <v>50</v>
      </c>
      <c r="DB79" s="178">
        <f t="shared" si="49"/>
        <v>1640</v>
      </c>
      <c r="DC79" s="155">
        <f t="shared" si="50"/>
        <v>0</v>
      </c>
      <c r="DD79" s="155">
        <f t="shared" si="51"/>
        <v>5820</v>
      </c>
      <c r="DE79" s="155">
        <f t="shared" si="52"/>
        <v>63902</v>
      </c>
      <c r="DF79" s="155">
        <f t="shared" si="53"/>
        <v>0</v>
      </c>
      <c r="DG79" s="155">
        <f t="shared" si="54"/>
        <v>0</v>
      </c>
      <c r="DH79" s="155">
        <f t="shared" si="55"/>
        <v>50</v>
      </c>
      <c r="DI79" s="179">
        <v>0</v>
      </c>
      <c r="DJ79" s="179">
        <v>0</v>
      </c>
      <c r="DK79" s="155">
        <f t="shared" si="56"/>
        <v>512</v>
      </c>
      <c r="DL79" s="180">
        <v>0</v>
      </c>
      <c r="DM79" s="181">
        <f t="shared" si="57"/>
        <v>8.8037372782381398E-2</v>
      </c>
      <c r="DN79" s="182"/>
      <c r="DO79" s="183">
        <f t="shared" si="58"/>
        <v>65592</v>
      </c>
      <c r="DP79" s="184">
        <f t="shared" si="59"/>
        <v>6332</v>
      </c>
    </row>
    <row r="80" spans="1:120" ht="16.5" thickBot="1">
      <c r="A80" s="185"/>
      <c r="B80" s="319">
        <f t="shared" si="60"/>
        <v>44986</v>
      </c>
      <c r="C80" s="204">
        <v>36720</v>
      </c>
      <c r="D80" s="201">
        <v>2000</v>
      </c>
      <c r="E80" s="202">
        <v>6930</v>
      </c>
      <c r="F80" s="203"/>
      <c r="G80" s="202"/>
      <c r="H80" s="204"/>
      <c r="I80" s="201">
        <v>735</v>
      </c>
      <c r="J80" s="204"/>
      <c r="K80" s="204"/>
      <c r="L80" s="204">
        <v>1550</v>
      </c>
      <c r="M80" s="201">
        <v>1110</v>
      </c>
      <c r="N80" s="205"/>
      <c r="O80" s="203">
        <v>6915</v>
      </c>
      <c r="P80" s="206">
        <v>125</v>
      </c>
      <c r="Q80" s="206"/>
      <c r="R80" s="205"/>
      <c r="S80" s="206"/>
      <c r="T80" s="205">
        <v>200</v>
      </c>
      <c r="U80" s="207"/>
      <c r="V80" s="208"/>
      <c r="W80" s="209"/>
      <c r="X80" s="210"/>
      <c r="Y80" s="206">
        <v>150</v>
      </c>
      <c r="Z80" s="206"/>
      <c r="AA80" s="207"/>
      <c r="AB80" s="208"/>
      <c r="AC80" s="207">
        <v>2520</v>
      </c>
      <c r="AD80" s="208">
        <v>2000</v>
      </c>
      <c r="AE80" s="205"/>
      <c r="AF80" s="205"/>
      <c r="AG80" s="209"/>
      <c r="AH80" s="207"/>
      <c r="AI80" s="208"/>
      <c r="AJ80" s="211"/>
      <c r="AK80" s="212"/>
      <c r="AL80" s="212"/>
      <c r="AM80" s="212"/>
      <c r="AN80" s="213"/>
      <c r="AO80" s="214">
        <f t="shared" si="61"/>
        <v>60955</v>
      </c>
      <c r="AP80" s="215"/>
      <c r="AQ80" s="215">
        <f t="shared" si="62"/>
        <v>0</v>
      </c>
      <c r="AR80" s="215">
        <f t="shared" si="63"/>
        <v>0</v>
      </c>
      <c r="AS80" s="216">
        <v>116246</v>
      </c>
      <c r="AT80" s="217">
        <f t="shared" si="42"/>
        <v>1.9070789926995324</v>
      </c>
      <c r="AU80" s="218">
        <v>2520</v>
      </c>
      <c r="AV80" s="219">
        <v>6960</v>
      </c>
      <c r="AW80" s="206"/>
      <c r="AX80" s="210">
        <v>4100</v>
      </c>
      <c r="AY80" s="210">
        <v>1300</v>
      </c>
      <c r="AZ80" s="210"/>
      <c r="BA80" s="220"/>
      <c r="BB80" s="221">
        <f t="shared" si="43"/>
        <v>14880</v>
      </c>
      <c r="BC80" s="222"/>
      <c r="BD80" s="221">
        <f t="shared" si="44"/>
        <v>0</v>
      </c>
      <c r="BE80" s="223"/>
      <c r="BF80" s="224"/>
      <c r="BG80" s="225"/>
      <c r="BH80" s="225">
        <v>150</v>
      </c>
      <c r="BI80" s="226"/>
      <c r="BJ80" s="227">
        <f t="shared" si="45"/>
        <v>150</v>
      </c>
      <c r="BK80" s="223"/>
      <c r="BL80" s="225">
        <v>1580</v>
      </c>
      <c r="BM80" s="225">
        <v>1600</v>
      </c>
      <c r="BN80" s="225">
        <v>2000</v>
      </c>
      <c r="BO80" s="225"/>
      <c r="BP80" s="228"/>
      <c r="BQ80" s="226"/>
      <c r="BR80" s="229">
        <f t="shared" si="46"/>
        <v>5180</v>
      </c>
      <c r="BS80" s="218">
        <v>140</v>
      </c>
      <c r="BT80" s="219">
        <v>60</v>
      </c>
      <c r="BU80" s="219"/>
      <c r="BV80" s="248"/>
      <c r="BW80" s="248">
        <v>60</v>
      </c>
      <c r="BX80" s="248">
        <v>840</v>
      </c>
      <c r="BY80" s="249">
        <v>160</v>
      </c>
      <c r="BZ80" s="249"/>
      <c r="CA80" s="206"/>
      <c r="CB80" s="206"/>
      <c r="CC80" s="219"/>
      <c r="CD80" s="206"/>
      <c r="CE80" s="219"/>
      <c r="CF80" s="206"/>
      <c r="CG80" s="206"/>
      <c r="CH80" s="249"/>
      <c r="CI80" s="249"/>
      <c r="CJ80" s="249"/>
      <c r="CK80" s="206">
        <v>360</v>
      </c>
      <c r="CL80" s="220">
        <v>100</v>
      </c>
      <c r="CM80" s="230">
        <f t="shared" si="47"/>
        <v>1720</v>
      </c>
      <c r="CN80" s="231"/>
      <c r="CO80" s="206"/>
      <c r="CP80" s="206"/>
      <c r="CQ80" s="206"/>
      <c r="CR80" s="206"/>
      <c r="CS80" s="206"/>
      <c r="CT80" s="206"/>
      <c r="CU80" s="206"/>
      <c r="CV80" s="206"/>
      <c r="CW80" s="206"/>
      <c r="CX80" s="206">
        <v>20</v>
      </c>
      <c r="CY80" s="206"/>
      <c r="CZ80" s="220"/>
      <c r="DA80" s="229">
        <f t="shared" si="48"/>
        <v>20</v>
      </c>
      <c r="DB80" s="240">
        <f t="shared" si="49"/>
        <v>1720</v>
      </c>
      <c r="DC80" s="209">
        <f t="shared" si="50"/>
        <v>0</v>
      </c>
      <c r="DD80" s="209">
        <f t="shared" si="51"/>
        <v>5330</v>
      </c>
      <c r="DE80" s="209">
        <f t="shared" si="52"/>
        <v>65419</v>
      </c>
      <c r="DF80" s="209">
        <f t="shared" si="53"/>
        <v>0</v>
      </c>
      <c r="DG80" s="209">
        <f t="shared" si="54"/>
        <v>0</v>
      </c>
      <c r="DH80" s="209">
        <f t="shared" si="55"/>
        <v>20</v>
      </c>
      <c r="DI80" s="241">
        <v>0</v>
      </c>
      <c r="DJ80" s="241">
        <v>0</v>
      </c>
      <c r="DK80" s="209">
        <f t="shared" si="56"/>
        <v>0</v>
      </c>
      <c r="DL80" s="242">
        <v>0</v>
      </c>
      <c r="DM80" s="243">
        <f t="shared" si="57"/>
        <v>7.3528397412021135E-2</v>
      </c>
      <c r="DN80" s="237"/>
      <c r="DO80" s="238">
        <f t="shared" si="58"/>
        <v>67159</v>
      </c>
      <c r="DP80" s="239">
        <f t="shared" si="59"/>
        <v>5330</v>
      </c>
    </row>
    <row r="81" spans="1:120">
      <c r="A81" s="191">
        <f>A69+1</f>
        <v>2023</v>
      </c>
      <c r="B81" s="317">
        <f t="shared" si="60"/>
        <v>45017</v>
      </c>
      <c r="C81" s="109">
        <v>31875</v>
      </c>
      <c r="D81" s="106">
        <v>1500</v>
      </c>
      <c r="E81" s="107">
        <v>6690</v>
      </c>
      <c r="F81" s="111"/>
      <c r="G81" s="107"/>
      <c r="H81" s="109"/>
      <c r="I81" s="106"/>
      <c r="J81" s="109"/>
      <c r="K81" s="109"/>
      <c r="L81" s="109">
        <v>562.5</v>
      </c>
      <c r="M81" s="106">
        <v>1020</v>
      </c>
      <c r="N81" s="110"/>
      <c r="O81" s="111">
        <v>5490</v>
      </c>
      <c r="P81" s="112">
        <v>237.5</v>
      </c>
      <c r="Q81" s="112"/>
      <c r="R81" s="110"/>
      <c r="S81" s="112"/>
      <c r="T81" s="110"/>
      <c r="U81" s="113"/>
      <c r="V81" s="114"/>
      <c r="W81" s="115"/>
      <c r="X81" s="116"/>
      <c r="Y81" s="112">
        <v>425</v>
      </c>
      <c r="Z81" s="112"/>
      <c r="AA81" s="113"/>
      <c r="AB81" s="114"/>
      <c r="AC81" s="113">
        <v>5040</v>
      </c>
      <c r="AD81" s="114">
        <v>1000</v>
      </c>
      <c r="AE81" s="110"/>
      <c r="AF81" s="110"/>
      <c r="AG81" s="115"/>
      <c r="AH81" s="113"/>
      <c r="AI81" s="114"/>
      <c r="AJ81" s="117"/>
      <c r="AK81" s="118"/>
      <c r="AL81" s="118"/>
      <c r="AM81" s="118"/>
      <c r="AN81" s="119"/>
      <c r="AO81" s="120">
        <f t="shared" si="61"/>
        <v>53840</v>
      </c>
      <c r="AP81" s="121"/>
      <c r="AQ81" s="121">
        <f t="shared" si="62"/>
        <v>0</v>
      </c>
      <c r="AR81" s="121">
        <f t="shared" si="63"/>
        <v>0</v>
      </c>
      <c r="AS81" s="122">
        <v>100772</v>
      </c>
      <c r="AT81" s="123">
        <f t="shared" si="42"/>
        <v>1.8716939078751857</v>
      </c>
      <c r="AU81" s="124">
        <v>1500</v>
      </c>
      <c r="AV81" s="125">
        <v>7230</v>
      </c>
      <c r="AW81" s="112"/>
      <c r="AX81" s="116">
        <v>1100</v>
      </c>
      <c r="AY81" s="116">
        <v>550</v>
      </c>
      <c r="AZ81" s="116">
        <v>60</v>
      </c>
      <c r="BA81" s="126">
        <v>120</v>
      </c>
      <c r="BB81" s="127">
        <f t="shared" si="43"/>
        <v>10560</v>
      </c>
      <c r="BC81" s="128"/>
      <c r="BD81" s="127">
        <f t="shared" si="44"/>
        <v>0</v>
      </c>
      <c r="BE81" s="129"/>
      <c r="BF81" s="130">
        <v>500</v>
      </c>
      <c r="BG81" s="131"/>
      <c r="BH81" s="131">
        <v>1125</v>
      </c>
      <c r="BI81" s="132"/>
      <c r="BJ81" s="133">
        <f t="shared" si="45"/>
        <v>1625</v>
      </c>
      <c r="BK81" s="129"/>
      <c r="BL81" s="131">
        <v>580</v>
      </c>
      <c r="BM81" s="131">
        <v>2400</v>
      </c>
      <c r="BN81" s="131">
        <v>3000</v>
      </c>
      <c r="BO81" s="131"/>
      <c r="BP81" s="134"/>
      <c r="BQ81" s="132"/>
      <c r="BR81" s="135">
        <f t="shared" si="46"/>
        <v>5980</v>
      </c>
      <c r="BS81" s="124"/>
      <c r="BT81" s="125">
        <v>200</v>
      </c>
      <c r="BU81" s="125"/>
      <c r="BV81" s="244"/>
      <c r="BW81" s="244"/>
      <c r="BX81" s="244">
        <v>640</v>
      </c>
      <c r="BY81" s="245">
        <v>160</v>
      </c>
      <c r="BZ81" s="245"/>
      <c r="CA81" s="112">
        <v>80</v>
      </c>
      <c r="CB81" s="112">
        <v>80</v>
      </c>
      <c r="CC81" s="125"/>
      <c r="CD81" s="112"/>
      <c r="CE81" s="125"/>
      <c r="CF81" s="112"/>
      <c r="CG81" s="112"/>
      <c r="CH81" s="245"/>
      <c r="CI81" s="245"/>
      <c r="CJ81" s="245"/>
      <c r="CK81" s="112">
        <v>280</v>
      </c>
      <c r="CL81" s="126">
        <v>80</v>
      </c>
      <c r="CM81" s="136">
        <f t="shared" si="47"/>
        <v>1520</v>
      </c>
      <c r="CN81" s="137"/>
      <c r="CO81" s="112"/>
      <c r="CP81" s="112"/>
      <c r="CQ81" s="112"/>
      <c r="CR81" s="112"/>
      <c r="CS81" s="112"/>
      <c r="CT81" s="112"/>
      <c r="CU81" s="112"/>
      <c r="CV81" s="112">
        <v>20</v>
      </c>
      <c r="CW81" s="112"/>
      <c r="CX81" s="112">
        <v>50</v>
      </c>
      <c r="CY81" s="112"/>
      <c r="CZ81" s="126"/>
      <c r="DA81" s="135">
        <f t="shared" si="48"/>
        <v>70</v>
      </c>
      <c r="DB81" s="192">
        <f t="shared" si="49"/>
        <v>1360</v>
      </c>
      <c r="DC81" s="115">
        <f t="shared" si="50"/>
        <v>160</v>
      </c>
      <c r="DD81" s="115">
        <f t="shared" si="51"/>
        <v>7605</v>
      </c>
      <c r="DE81" s="115">
        <f t="shared" si="52"/>
        <v>57008</v>
      </c>
      <c r="DF81" s="115">
        <f t="shared" si="53"/>
        <v>0</v>
      </c>
      <c r="DG81" s="115">
        <f t="shared" si="54"/>
        <v>0</v>
      </c>
      <c r="DH81" s="115">
        <f t="shared" si="55"/>
        <v>70</v>
      </c>
      <c r="DI81" s="193">
        <v>0</v>
      </c>
      <c r="DJ81" s="193">
        <v>0</v>
      </c>
      <c r="DK81" s="115">
        <f t="shared" si="56"/>
        <v>0</v>
      </c>
      <c r="DL81" s="194">
        <v>0</v>
      </c>
      <c r="DM81" s="195">
        <f t="shared" si="57"/>
        <v>0.11729075721644035</v>
      </c>
      <c r="DN81" s="143"/>
      <c r="DO81" s="144">
        <f t="shared" si="58"/>
        <v>58438</v>
      </c>
      <c r="DP81" s="145">
        <f t="shared" si="59"/>
        <v>7765</v>
      </c>
    </row>
    <row r="82" spans="1:120">
      <c r="A82" s="146"/>
      <c r="B82" s="318">
        <f t="shared" si="60"/>
        <v>45047</v>
      </c>
      <c r="C82" s="150">
        <v>38010</v>
      </c>
      <c r="D82" s="147">
        <v>1500</v>
      </c>
      <c r="E82" s="148">
        <v>5055</v>
      </c>
      <c r="F82" s="149"/>
      <c r="G82" s="148"/>
      <c r="H82" s="150"/>
      <c r="I82" s="147"/>
      <c r="J82" s="150"/>
      <c r="K82" s="150"/>
      <c r="L82" s="150">
        <v>2625</v>
      </c>
      <c r="M82" s="147">
        <v>1920</v>
      </c>
      <c r="N82" s="151"/>
      <c r="O82" s="149">
        <v>4560</v>
      </c>
      <c r="P82" s="152">
        <v>425</v>
      </c>
      <c r="Q82" s="152"/>
      <c r="R82" s="151"/>
      <c r="S82" s="152"/>
      <c r="T82" s="151">
        <v>100</v>
      </c>
      <c r="U82" s="153"/>
      <c r="V82" s="154"/>
      <c r="W82" s="155"/>
      <c r="X82" s="156"/>
      <c r="Y82" s="152">
        <v>675</v>
      </c>
      <c r="Z82" s="152"/>
      <c r="AA82" s="153"/>
      <c r="AB82" s="154"/>
      <c r="AC82" s="153">
        <v>2520</v>
      </c>
      <c r="AD82" s="154">
        <v>1000</v>
      </c>
      <c r="AE82" s="151"/>
      <c r="AF82" s="151">
        <v>2000</v>
      </c>
      <c r="AG82" s="155"/>
      <c r="AH82" s="153"/>
      <c r="AI82" s="154"/>
      <c r="AJ82" s="157"/>
      <c r="AK82" s="158"/>
      <c r="AL82" s="158"/>
      <c r="AM82" s="158"/>
      <c r="AN82" s="159"/>
      <c r="AO82" s="160">
        <f t="shared" si="61"/>
        <v>60390</v>
      </c>
      <c r="AP82" s="161"/>
      <c r="AQ82" s="161">
        <f t="shared" si="62"/>
        <v>0</v>
      </c>
      <c r="AR82" s="161">
        <f t="shared" si="63"/>
        <v>0</v>
      </c>
      <c r="AS82" s="162">
        <v>90479</v>
      </c>
      <c r="AT82" s="163">
        <f t="shared" si="42"/>
        <v>1.4982447425070375</v>
      </c>
      <c r="AU82" s="164">
        <v>1560</v>
      </c>
      <c r="AV82" s="165">
        <v>8040</v>
      </c>
      <c r="AW82" s="152">
        <v>150</v>
      </c>
      <c r="AX82" s="156">
        <v>1000</v>
      </c>
      <c r="AY82" s="156">
        <v>250</v>
      </c>
      <c r="AZ82" s="156"/>
      <c r="BA82" s="166"/>
      <c r="BB82" s="167">
        <f t="shared" si="43"/>
        <v>11000</v>
      </c>
      <c r="BC82" s="168"/>
      <c r="BD82" s="167">
        <f t="shared" si="44"/>
        <v>0</v>
      </c>
      <c r="BE82" s="169"/>
      <c r="BF82" s="170"/>
      <c r="BG82" s="171"/>
      <c r="BH82" s="171">
        <v>500</v>
      </c>
      <c r="BI82" s="172"/>
      <c r="BJ82" s="173">
        <f t="shared" si="45"/>
        <v>500</v>
      </c>
      <c r="BK82" s="169"/>
      <c r="BL82" s="171">
        <v>2380</v>
      </c>
      <c r="BM82" s="171">
        <v>1600</v>
      </c>
      <c r="BN82" s="171">
        <v>1000</v>
      </c>
      <c r="BO82" s="171"/>
      <c r="BP82" s="174"/>
      <c r="BQ82" s="172"/>
      <c r="BR82" s="175">
        <f t="shared" si="46"/>
        <v>4980</v>
      </c>
      <c r="BS82" s="164">
        <v>120</v>
      </c>
      <c r="BT82" s="165">
        <v>800</v>
      </c>
      <c r="BU82" s="165"/>
      <c r="BV82" s="246">
        <v>20</v>
      </c>
      <c r="BW82" s="246">
        <v>160</v>
      </c>
      <c r="BX82" s="246">
        <v>600</v>
      </c>
      <c r="BY82" s="247">
        <v>360</v>
      </c>
      <c r="BZ82" s="247">
        <v>40</v>
      </c>
      <c r="CA82" s="152">
        <v>100</v>
      </c>
      <c r="CB82" s="152">
        <v>100</v>
      </c>
      <c r="CC82" s="165"/>
      <c r="CD82" s="152"/>
      <c r="CE82" s="165"/>
      <c r="CF82" s="152"/>
      <c r="CG82" s="152"/>
      <c r="CH82" s="247"/>
      <c r="CI82" s="247"/>
      <c r="CJ82" s="247"/>
      <c r="CK82" s="152">
        <v>980</v>
      </c>
      <c r="CL82" s="166">
        <v>160</v>
      </c>
      <c r="CM82" s="176">
        <f t="shared" si="47"/>
        <v>3440</v>
      </c>
      <c r="CN82" s="177"/>
      <c r="CO82" s="152"/>
      <c r="CP82" s="152"/>
      <c r="CQ82" s="152"/>
      <c r="CR82" s="152"/>
      <c r="CS82" s="152"/>
      <c r="CT82" s="152"/>
      <c r="CU82" s="152"/>
      <c r="CV82" s="152"/>
      <c r="CW82" s="152"/>
      <c r="CX82" s="152"/>
      <c r="CY82" s="152"/>
      <c r="CZ82" s="166"/>
      <c r="DA82" s="175">
        <f t="shared" si="48"/>
        <v>0</v>
      </c>
      <c r="DB82" s="186">
        <f t="shared" si="49"/>
        <v>3240</v>
      </c>
      <c r="DC82" s="187">
        <f t="shared" si="50"/>
        <v>200</v>
      </c>
      <c r="DD82" s="187">
        <f t="shared" si="51"/>
        <v>5480</v>
      </c>
      <c r="DE82" s="187">
        <f t="shared" si="52"/>
        <v>63690</v>
      </c>
      <c r="DF82" s="187">
        <f t="shared" si="53"/>
        <v>0</v>
      </c>
      <c r="DG82" s="187">
        <f t="shared" si="54"/>
        <v>0</v>
      </c>
      <c r="DH82" s="187">
        <f t="shared" si="55"/>
        <v>0</v>
      </c>
      <c r="DI82" s="188">
        <v>0</v>
      </c>
      <c r="DJ82" s="188">
        <v>0</v>
      </c>
      <c r="DK82" s="187">
        <f t="shared" si="56"/>
        <v>0</v>
      </c>
      <c r="DL82" s="189">
        <v>0</v>
      </c>
      <c r="DM82" s="190">
        <f t="shared" si="57"/>
        <v>7.8226139650185919E-2</v>
      </c>
      <c r="DN82" s="182"/>
      <c r="DO82" s="183">
        <f t="shared" si="58"/>
        <v>66930</v>
      </c>
      <c r="DP82" s="184">
        <f t="shared" si="59"/>
        <v>5680</v>
      </c>
    </row>
    <row r="83" spans="1:120">
      <c r="A83" s="146"/>
      <c r="B83" s="318">
        <f t="shared" si="60"/>
        <v>45078</v>
      </c>
      <c r="C83" s="150">
        <v>44400</v>
      </c>
      <c r="D83" s="147">
        <v>2000</v>
      </c>
      <c r="E83" s="148">
        <v>5535</v>
      </c>
      <c r="F83" s="149"/>
      <c r="G83" s="148"/>
      <c r="H83" s="150">
        <v>37.5</v>
      </c>
      <c r="I83" s="147">
        <v>75</v>
      </c>
      <c r="J83" s="150"/>
      <c r="K83" s="150"/>
      <c r="L83" s="150">
        <v>3400</v>
      </c>
      <c r="M83" s="147">
        <v>2205</v>
      </c>
      <c r="N83" s="151"/>
      <c r="O83" s="149">
        <v>5040</v>
      </c>
      <c r="P83" s="152">
        <v>250</v>
      </c>
      <c r="Q83" s="152"/>
      <c r="R83" s="151"/>
      <c r="S83" s="152"/>
      <c r="T83" s="151">
        <v>240</v>
      </c>
      <c r="U83" s="153"/>
      <c r="V83" s="154"/>
      <c r="W83" s="155"/>
      <c r="X83" s="156"/>
      <c r="Y83" s="152"/>
      <c r="Z83" s="152"/>
      <c r="AA83" s="153"/>
      <c r="AB83" s="154"/>
      <c r="AC83" s="153">
        <v>3780</v>
      </c>
      <c r="AD83" s="154">
        <v>1500</v>
      </c>
      <c r="AE83" s="151"/>
      <c r="AF83" s="151">
        <v>2000</v>
      </c>
      <c r="AG83" s="155"/>
      <c r="AH83" s="153"/>
      <c r="AI83" s="154"/>
      <c r="AJ83" s="157">
        <v>300</v>
      </c>
      <c r="AK83" s="158"/>
      <c r="AL83" s="158"/>
      <c r="AM83" s="158"/>
      <c r="AN83" s="159"/>
      <c r="AO83" s="160">
        <f t="shared" si="61"/>
        <v>70762.5</v>
      </c>
      <c r="AP83" s="161"/>
      <c r="AQ83" s="161">
        <f t="shared" si="62"/>
        <v>0</v>
      </c>
      <c r="AR83" s="161">
        <f t="shared" si="63"/>
        <v>0</v>
      </c>
      <c r="AS83" s="162">
        <v>106897</v>
      </c>
      <c r="AT83" s="163">
        <f t="shared" si="42"/>
        <v>1.5106447624094683</v>
      </c>
      <c r="AU83" s="164">
        <v>1560</v>
      </c>
      <c r="AV83" s="165">
        <v>9840</v>
      </c>
      <c r="AW83" s="152">
        <v>420</v>
      </c>
      <c r="AX83" s="156">
        <v>2600</v>
      </c>
      <c r="AY83" s="156">
        <v>700</v>
      </c>
      <c r="AZ83" s="156"/>
      <c r="BA83" s="166"/>
      <c r="BB83" s="167">
        <f t="shared" si="43"/>
        <v>15120</v>
      </c>
      <c r="BC83" s="168"/>
      <c r="BD83" s="167">
        <f t="shared" si="44"/>
        <v>0</v>
      </c>
      <c r="BE83" s="169"/>
      <c r="BF83" s="170">
        <v>500</v>
      </c>
      <c r="BG83" s="171">
        <v>1000</v>
      </c>
      <c r="BH83" s="171">
        <v>325</v>
      </c>
      <c r="BI83" s="172"/>
      <c r="BJ83" s="173">
        <f t="shared" si="45"/>
        <v>1825</v>
      </c>
      <c r="BK83" s="169"/>
      <c r="BL83" s="171">
        <v>480</v>
      </c>
      <c r="BM83" s="171">
        <v>1600</v>
      </c>
      <c r="BN83" s="171">
        <v>2000</v>
      </c>
      <c r="BO83" s="171"/>
      <c r="BP83" s="174"/>
      <c r="BQ83" s="172"/>
      <c r="BR83" s="175">
        <f t="shared" si="46"/>
        <v>4080</v>
      </c>
      <c r="BS83" s="164"/>
      <c r="BT83" s="165">
        <v>340</v>
      </c>
      <c r="BU83" s="165"/>
      <c r="BV83" s="246"/>
      <c r="BW83" s="246"/>
      <c r="BX83" s="246">
        <v>640</v>
      </c>
      <c r="BY83" s="247">
        <v>280</v>
      </c>
      <c r="BZ83" s="247"/>
      <c r="CA83" s="152">
        <v>100</v>
      </c>
      <c r="CB83" s="152">
        <v>100</v>
      </c>
      <c r="CC83" s="165"/>
      <c r="CD83" s="152"/>
      <c r="CE83" s="165"/>
      <c r="CF83" s="152"/>
      <c r="CG83" s="152"/>
      <c r="CH83" s="247"/>
      <c r="CI83" s="247"/>
      <c r="CJ83" s="247"/>
      <c r="CK83" s="152">
        <v>320</v>
      </c>
      <c r="CL83" s="166">
        <v>80</v>
      </c>
      <c r="CM83" s="176">
        <f t="shared" si="47"/>
        <v>1860</v>
      </c>
      <c r="CN83" s="177"/>
      <c r="CO83" s="152"/>
      <c r="CP83" s="152"/>
      <c r="CQ83" s="152"/>
      <c r="CR83" s="152"/>
      <c r="CS83" s="152">
        <v>50</v>
      </c>
      <c r="CT83" s="152"/>
      <c r="CU83" s="152"/>
      <c r="CV83" s="152"/>
      <c r="CW83" s="152"/>
      <c r="CX83" s="152">
        <v>50</v>
      </c>
      <c r="CY83" s="152"/>
      <c r="CZ83" s="166"/>
      <c r="DA83" s="175">
        <f t="shared" si="48"/>
        <v>100</v>
      </c>
      <c r="DB83" s="178">
        <f t="shared" si="49"/>
        <v>1660</v>
      </c>
      <c r="DC83" s="155">
        <f t="shared" si="50"/>
        <v>200</v>
      </c>
      <c r="DD83" s="155">
        <f t="shared" si="51"/>
        <v>5905</v>
      </c>
      <c r="DE83" s="155">
        <f t="shared" si="52"/>
        <v>75298.5</v>
      </c>
      <c r="DF83" s="155">
        <f t="shared" si="53"/>
        <v>0</v>
      </c>
      <c r="DG83" s="155">
        <f t="shared" si="54"/>
        <v>0</v>
      </c>
      <c r="DH83" s="155">
        <f t="shared" si="55"/>
        <v>100</v>
      </c>
      <c r="DI83" s="179">
        <v>0</v>
      </c>
      <c r="DJ83" s="179">
        <v>0</v>
      </c>
      <c r="DK83" s="155">
        <f t="shared" si="56"/>
        <v>0</v>
      </c>
      <c r="DL83" s="180">
        <v>0</v>
      </c>
      <c r="DM83" s="181">
        <f t="shared" si="57"/>
        <v>7.3409608782699143E-2</v>
      </c>
      <c r="DN83" s="182"/>
      <c r="DO83" s="183">
        <f t="shared" si="58"/>
        <v>77058.5</v>
      </c>
      <c r="DP83" s="184">
        <f t="shared" si="59"/>
        <v>6105</v>
      </c>
    </row>
    <row r="84" spans="1:120">
      <c r="A84" s="196"/>
      <c r="B84" s="326">
        <f t="shared" si="60"/>
        <v>45108</v>
      </c>
      <c r="C84" s="150">
        <v>34875</v>
      </c>
      <c r="D84" s="147">
        <v>1000</v>
      </c>
      <c r="E84" s="148">
        <v>5910</v>
      </c>
      <c r="F84" s="149"/>
      <c r="G84" s="148"/>
      <c r="H84" s="150"/>
      <c r="I84" s="147"/>
      <c r="J84" s="150"/>
      <c r="K84" s="150">
        <v>62.5</v>
      </c>
      <c r="L84" s="150">
        <v>3700</v>
      </c>
      <c r="M84" s="147">
        <v>2385</v>
      </c>
      <c r="N84" s="151"/>
      <c r="O84" s="149">
        <v>6150</v>
      </c>
      <c r="P84" s="152"/>
      <c r="Q84" s="152"/>
      <c r="R84" s="151"/>
      <c r="S84" s="152"/>
      <c r="T84" s="151">
        <v>140</v>
      </c>
      <c r="U84" s="153"/>
      <c r="V84" s="154"/>
      <c r="W84" s="155"/>
      <c r="X84" s="156"/>
      <c r="Y84" s="152">
        <v>50</v>
      </c>
      <c r="Z84" s="152"/>
      <c r="AA84" s="153"/>
      <c r="AB84" s="154"/>
      <c r="AC84" s="153">
        <v>3780</v>
      </c>
      <c r="AD84" s="154">
        <v>1500</v>
      </c>
      <c r="AE84" s="151"/>
      <c r="AF84" s="151">
        <v>2000</v>
      </c>
      <c r="AG84" s="155"/>
      <c r="AH84" s="153"/>
      <c r="AI84" s="154"/>
      <c r="AJ84" s="157"/>
      <c r="AK84" s="158"/>
      <c r="AL84" s="158"/>
      <c r="AM84" s="158"/>
      <c r="AN84" s="159"/>
      <c r="AO84" s="160">
        <f t="shared" si="61"/>
        <v>61552.5</v>
      </c>
      <c r="AP84" s="161"/>
      <c r="AQ84" s="161">
        <f t="shared" si="62"/>
        <v>0</v>
      </c>
      <c r="AR84" s="161">
        <f t="shared" si="63"/>
        <v>0</v>
      </c>
      <c r="AS84" s="162">
        <v>104922</v>
      </c>
      <c r="AT84" s="163">
        <f t="shared" si="42"/>
        <v>1.7045936395759718</v>
      </c>
      <c r="AU84" s="164">
        <v>1080</v>
      </c>
      <c r="AV84" s="165">
        <v>8130</v>
      </c>
      <c r="AW84" s="152">
        <v>150</v>
      </c>
      <c r="AX84" s="156">
        <v>2850</v>
      </c>
      <c r="AY84" s="156">
        <v>150</v>
      </c>
      <c r="AZ84" s="156"/>
      <c r="BA84" s="166">
        <v>80</v>
      </c>
      <c r="BB84" s="167">
        <f t="shared" si="43"/>
        <v>12440</v>
      </c>
      <c r="BC84" s="168"/>
      <c r="BD84" s="167">
        <f t="shared" si="44"/>
        <v>0</v>
      </c>
      <c r="BE84" s="169"/>
      <c r="BF84" s="170">
        <v>500</v>
      </c>
      <c r="BG84" s="171"/>
      <c r="BH84" s="171">
        <v>400</v>
      </c>
      <c r="BI84" s="172"/>
      <c r="BJ84" s="173">
        <f t="shared" si="45"/>
        <v>900</v>
      </c>
      <c r="BK84" s="169"/>
      <c r="BL84" s="171">
        <v>500</v>
      </c>
      <c r="BM84" s="171">
        <v>2400</v>
      </c>
      <c r="BN84" s="171">
        <v>2000</v>
      </c>
      <c r="BO84" s="171"/>
      <c r="BP84" s="174"/>
      <c r="BQ84" s="172"/>
      <c r="BR84" s="175">
        <f t="shared" si="46"/>
        <v>4900</v>
      </c>
      <c r="BS84" s="164">
        <v>100</v>
      </c>
      <c r="BT84" s="165">
        <v>100</v>
      </c>
      <c r="BU84" s="165"/>
      <c r="BV84" s="246">
        <v>40</v>
      </c>
      <c r="BW84" s="246"/>
      <c r="BX84" s="246">
        <v>480</v>
      </c>
      <c r="BY84" s="247">
        <v>720</v>
      </c>
      <c r="BZ84" s="247">
        <v>40</v>
      </c>
      <c r="CA84" s="152">
        <v>100</v>
      </c>
      <c r="CB84" s="152">
        <v>100</v>
      </c>
      <c r="CC84" s="165"/>
      <c r="CD84" s="152"/>
      <c r="CE84" s="165"/>
      <c r="CF84" s="152"/>
      <c r="CG84" s="152"/>
      <c r="CH84" s="247"/>
      <c r="CI84" s="247"/>
      <c r="CJ84" s="247"/>
      <c r="CK84" s="152">
        <v>620</v>
      </c>
      <c r="CL84" s="166"/>
      <c r="CM84" s="176">
        <f t="shared" si="47"/>
        <v>2300</v>
      </c>
      <c r="CN84" s="177"/>
      <c r="CO84" s="152"/>
      <c r="CP84" s="152"/>
      <c r="CQ84" s="152"/>
      <c r="CR84" s="152"/>
      <c r="CS84" s="152"/>
      <c r="CT84" s="152"/>
      <c r="CU84" s="152"/>
      <c r="CV84" s="152"/>
      <c r="CW84" s="152"/>
      <c r="CX84" s="152"/>
      <c r="CY84" s="152"/>
      <c r="CZ84" s="166"/>
      <c r="DA84" s="175">
        <f t="shared" si="48"/>
        <v>0</v>
      </c>
      <c r="DB84" s="186">
        <f t="shared" si="49"/>
        <v>2100</v>
      </c>
      <c r="DC84" s="187">
        <f t="shared" si="50"/>
        <v>200</v>
      </c>
      <c r="DD84" s="187">
        <f t="shared" si="51"/>
        <v>5800</v>
      </c>
      <c r="DE84" s="187">
        <f t="shared" si="52"/>
        <v>65284.5</v>
      </c>
      <c r="DF84" s="187">
        <f t="shared" si="53"/>
        <v>0</v>
      </c>
      <c r="DG84" s="187">
        <f t="shared" si="54"/>
        <v>0</v>
      </c>
      <c r="DH84" s="187">
        <f t="shared" si="55"/>
        <v>0</v>
      </c>
      <c r="DI84" s="188">
        <v>0</v>
      </c>
      <c r="DJ84" s="188">
        <v>0</v>
      </c>
      <c r="DK84" s="187">
        <f t="shared" si="56"/>
        <v>0</v>
      </c>
      <c r="DL84" s="189">
        <v>0</v>
      </c>
      <c r="DM84" s="190">
        <f t="shared" si="57"/>
        <v>8.1761134844551636E-2</v>
      </c>
      <c r="DN84" s="182"/>
      <c r="DO84" s="183">
        <f t="shared" si="58"/>
        <v>67384.5</v>
      </c>
      <c r="DP84" s="184">
        <f t="shared" si="59"/>
        <v>6000</v>
      </c>
    </row>
    <row r="85" spans="1:120">
      <c r="A85" s="146"/>
      <c r="B85" s="318">
        <f t="shared" si="60"/>
        <v>45139</v>
      </c>
      <c r="C85" s="150">
        <v>22575</v>
      </c>
      <c r="D85" s="147">
        <v>2000</v>
      </c>
      <c r="E85" s="148">
        <v>3960</v>
      </c>
      <c r="F85" s="149"/>
      <c r="G85" s="148"/>
      <c r="H85" s="150"/>
      <c r="I85" s="147"/>
      <c r="J85" s="150"/>
      <c r="K85" s="150"/>
      <c r="L85" s="150">
        <v>1875</v>
      </c>
      <c r="M85" s="147">
        <v>1050</v>
      </c>
      <c r="N85" s="151">
        <v>270</v>
      </c>
      <c r="O85" s="149">
        <v>3450</v>
      </c>
      <c r="P85" s="152">
        <v>500</v>
      </c>
      <c r="Q85" s="152"/>
      <c r="R85" s="151"/>
      <c r="S85" s="152"/>
      <c r="T85" s="151">
        <v>40</v>
      </c>
      <c r="U85" s="153"/>
      <c r="V85" s="154"/>
      <c r="W85" s="155"/>
      <c r="X85" s="156"/>
      <c r="Y85" s="152">
        <v>575</v>
      </c>
      <c r="Z85" s="152"/>
      <c r="AA85" s="153"/>
      <c r="AB85" s="154"/>
      <c r="AC85" s="153">
        <v>2520</v>
      </c>
      <c r="AD85" s="154">
        <v>1000</v>
      </c>
      <c r="AE85" s="151"/>
      <c r="AF85" s="151">
        <v>2000</v>
      </c>
      <c r="AG85" s="155"/>
      <c r="AH85" s="153"/>
      <c r="AI85" s="154">
        <v>1000</v>
      </c>
      <c r="AJ85" s="157"/>
      <c r="AK85" s="158"/>
      <c r="AL85" s="158"/>
      <c r="AM85" s="158"/>
      <c r="AN85" s="159"/>
      <c r="AO85" s="160">
        <f t="shared" si="61"/>
        <v>42545</v>
      </c>
      <c r="AP85" s="161"/>
      <c r="AQ85" s="161">
        <f t="shared" si="62"/>
        <v>0</v>
      </c>
      <c r="AR85" s="161">
        <f t="shared" si="63"/>
        <v>270</v>
      </c>
      <c r="AS85" s="162">
        <f>94700-1500</f>
        <v>93200</v>
      </c>
      <c r="AT85" s="163">
        <f t="shared" si="42"/>
        <v>2.1768071937405113</v>
      </c>
      <c r="AU85" s="164">
        <v>780</v>
      </c>
      <c r="AV85" s="165">
        <v>5160</v>
      </c>
      <c r="AW85" s="152">
        <v>30</v>
      </c>
      <c r="AX85" s="156">
        <v>2600</v>
      </c>
      <c r="AY85" s="156">
        <v>400</v>
      </c>
      <c r="AZ85" s="156"/>
      <c r="BA85" s="166"/>
      <c r="BB85" s="167">
        <f t="shared" si="43"/>
        <v>8970</v>
      </c>
      <c r="BC85" s="168"/>
      <c r="BD85" s="167">
        <f t="shared" si="44"/>
        <v>0</v>
      </c>
      <c r="BE85" s="169"/>
      <c r="BF85" s="170">
        <v>500</v>
      </c>
      <c r="BG85" s="171"/>
      <c r="BH85" s="171">
        <v>1200</v>
      </c>
      <c r="BI85" s="172"/>
      <c r="BJ85" s="173">
        <f t="shared" si="45"/>
        <v>1700</v>
      </c>
      <c r="BK85" s="169"/>
      <c r="BL85" s="171">
        <v>1400</v>
      </c>
      <c r="BM85" s="171">
        <v>800</v>
      </c>
      <c r="BN85" s="171">
        <v>2000</v>
      </c>
      <c r="BO85" s="171"/>
      <c r="BP85" s="174"/>
      <c r="BQ85" s="172"/>
      <c r="BR85" s="175">
        <f t="shared" si="46"/>
        <v>4200</v>
      </c>
      <c r="BS85" s="164">
        <v>40</v>
      </c>
      <c r="BT85" s="165">
        <v>100</v>
      </c>
      <c r="BU85" s="165"/>
      <c r="BV85" s="246"/>
      <c r="BW85" s="246"/>
      <c r="BX85" s="246">
        <v>520</v>
      </c>
      <c r="BY85" s="247">
        <v>220</v>
      </c>
      <c r="BZ85" s="247"/>
      <c r="CA85" s="152">
        <v>100</v>
      </c>
      <c r="CB85" s="152">
        <v>100</v>
      </c>
      <c r="CC85" s="165"/>
      <c r="CD85" s="152"/>
      <c r="CE85" s="165"/>
      <c r="CF85" s="152"/>
      <c r="CG85" s="152"/>
      <c r="CH85" s="247"/>
      <c r="CI85" s="247"/>
      <c r="CJ85" s="247"/>
      <c r="CK85" s="152">
        <v>420</v>
      </c>
      <c r="CL85" s="166"/>
      <c r="CM85" s="176">
        <f t="shared" si="47"/>
        <v>1500</v>
      </c>
      <c r="CN85" s="177"/>
      <c r="CO85" s="152"/>
      <c r="CP85" s="152"/>
      <c r="CQ85" s="152"/>
      <c r="CR85" s="152">
        <v>50</v>
      </c>
      <c r="CS85" s="152"/>
      <c r="CT85" s="152">
        <v>75</v>
      </c>
      <c r="CU85" s="152"/>
      <c r="CV85" s="152"/>
      <c r="CW85" s="152"/>
      <c r="CX85" s="152"/>
      <c r="CY85" s="152"/>
      <c r="CZ85" s="166"/>
      <c r="DA85" s="175">
        <f t="shared" si="48"/>
        <v>125</v>
      </c>
      <c r="DB85" s="178">
        <f t="shared" si="49"/>
        <v>1300</v>
      </c>
      <c r="DC85" s="155">
        <f t="shared" si="50"/>
        <v>200</v>
      </c>
      <c r="DD85" s="155">
        <f t="shared" si="51"/>
        <v>5900</v>
      </c>
      <c r="DE85" s="155">
        <f t="shared" si="52"/>
        <v>45236</v>
      </c>
      <c r="DF85" s="155">
        <f t="shared" si="53"/>
        <v>0</v>
      </c>
      <c r="DG85" s="155">
        <f t="shared" si="54"/>
        <v>270</v>
      </c>
      <c r="DH85" s="155">
        <f t="shared" si="55"/>
        <v>125</v>
      </c>
      <c r="DI85" s="179">
        <v>0</v>
      </c>
      <c r="DJ85" s="179">
        <v>0</v>
      </c>
      <c r="DK85" s="155">
        <f t="shared" si="56"/>
        <v>0</v>
      </c>
      <c r="DL85" s="180">
        <v>0</v>
      </c>
      <c r="DM85" s="181">
        <f t="shared" si="57"/>
        <v>0.12011842130074862</v>
      </c>
      <c r="DN85" s="182"/>
      <c r="DO85" s="183">
        <f t="shared" si="58"/>
        <v>46661</v>
      </c>
      <c r="DP85" s="184">
        <f t="shared" si="59"/>
        <v>6370</v>
      </c>
    </row>
    <row r="86" spans="1:120">
      <c r="A86" s="146"/>
      <c r="B86" s="318">
        <f t="shared" si="60"/>
        <v>45170</v>
      </c>
      <c r="C86" s="150">
        <v>41985</v>
      </c>
      <c r="D86" s="147">
        <v>1500</v>
      </c>
      <c r="E86" s="148">
        <v>5385</v>
      </c>
      <c r="F86" s="149"/>
      <c r="G86" s="148"/>
      <c r="H86" s="150"/>
      <c r="I86" s="147">
        <v>225</v>
      </c>
      <c r="J86" s="150"/>
      <c r="K86" s="150">
        <v>125</v>
      </c>
      <c r="L86" s="150">
        <v>4700</v>
      </c>
      <c r="M86" s="147">
        <v>1320</v>
      </c>
      <c r="N86" s="151"/>
      <c r="O86" s="149">
        <v>5085</v>
      </c>
      <c r="P86" s="152">
        <v>500</v>
      </c>
      <c r="Q86" s="152"/>
      <c r="R86" s="151"/>
      <c r="S86" s="152"/>
      <c r="T86" s="151">
        <v>80</v>
      </c>
      <c r="U86" s="153"/>
      <c r="V86" s="154"/>
      <c r="W86" s="155"/>
      <c r="X86" s="156"/>
      <c r="Y86" s="152">
        <v>1050</v>
      </c>
      <c r="Z86" s="152"/>
      <c r="AA86" s="153"/>
      <c r="AB86" s="154"/>
      <c r="AC86" s="153">
        <v>3780</v>
      </c>
      <c r="AD86" s="154">
        <v>2000</v>
      </c>
      <c r="AE86" s="151"/>
      <c r="AF86" s="151">
        <v>2000</v>
      </c>
      <c r="AG86" s="155"/>
      <c r="AH86" s="153"/>
      <c r="AI86" s="154"/>
      <c r="AJ86" s="157"/>
      <c r="AK86" s="158"/>
      <c r="AL86" s="158"/>
      <c r="AM86" s="158"/>
      <c r="AN86" s="159"/>
      <c r="AO86" s="160">
        <f t="shared" si="61"/>
        <v>69735</v>
      </c>
      <c r="AP86" s="161"/>
      <c r="AQ86" s="161">
        <f t="shared" si="62"/>
        <v>0</v>
      </c>
      <c r="AR86" s="161">
        <f t="shared" si="63"/>
        <v>0</v>
      </c>
      <c r="AS86" s="162">
        <v>119281</v>
      </c>
      <c r="AT86" s="163">
        <f t="shared" si="42"/>
        <v>1.7104897110489712</v>
      </c>
      <c r="AU86" s="164">
        <v>900</v>
      </c>
      <c r="AV86" s="165">
        <v>8520</v>
      </c>
      <c r="AW86" s="152">
        <v>750</v>
      </c>
      <c r="AX86" s="156">
        <v>4250</v>
      </c>
      <c r="AY86" s="156">
        <v>1400</v>
      </c>
      <c r="AZ86" s="156">
        <v>100</v>
      </c>
      <c r="BA86" s="166">
        <v>280</v>
      </c>
      <c r="BB86" s="167">
        <f t="shared" si="43"/>
        <v>16200</v>
      </c>
      <c r="BC86" s="168"/>
      <c r="BD86" s="167">
        <f t="shared" si="44"/>
        <v>0</v>
      </c>
      <c r="BE86" s="169"/>
      <c r="BF86" s="170"/>
      <c r="BG86" s="171">
        <v>1000</v>
      </c>
      <c r="BH86" s="171">
        <v>500</v>
      </c>
      <c r="BI86" s="172"/>
      <c r="BJ86" s="173">
        <f t="shared" si="45"/>
        <v>1500</v>
      </c>
      <c r="BK86" s="169"/>
      <c r="BL86" s="171">
        <v>1480</v>
      </c>
      <c r="BM86" s="171">
        <v>2400</v>
      </c>
      <c r="BN86" s="171">
        <v>4000</v>
      </c>
      <c r="BO86" s="171"/>
      <c r="BP86" s="174"/>
      <c r="BQ86" s="172"/>
      <c r="BR86" s="175">
        <f t="shared" si="46"/>
        <v>7880</v>
      </c>
      <c r="BS86" s="164">
        <v>80</v>
      </c>
      <c r="BT86" s="165"/>
      <c r="BU86" s="165"/>
      <c r="BV86" s="246"/>
      <c r="BW86" s="246">
        <v>80</v>
      </c>
      <c r="BX86" s="246">
        <v>680</v>
      </c>
      <c r="BY86" s="247">
        <v>480</v>
      </c>
      <c r="BZ86" s="247">
        <v>20</v>
      </c>
      <c r="CA86" s="152">
        <v>100</v>
      </c>
      <c r="CB86" s="152">
        <v>100</v>
      </c>
      <c r="CC86" s="165">
        <v>50</v>
      </c>
      <c r="CD86" s="152"/>
      <c r="CE86" s="165">
        <v>50</v>
      </c>
      <c r="CF86" s="152"/>
      <c r="CG86" s="152"/>
      <c r="CH86" s="247"/>
      <c r="CI86" s="247"/>
      <c r="CJ86" s="247"/>
      <c r="CK86" s="152">
        <v>540</v>
      </c>
      <c r="CL86" s="166">
        <v>120</v>
      </c>
      <c r="CM86" s="176">
        <f t="shared" si="47"/>
        <v>2300</v>
      </c>
      <c r="CN86" s="177"/>
      <c r="CO86" s="152"/>
      <c r="CP86" s="152"/>
      <c r="CQ86" s="152"/>
      <c r="CR86" s="152">
        <v>50</v>
      </c>
      <c r="CS86" s="152">
        <v>50</v>
      </c>
      <c r="CT86" s="152"/>
      <c r="CU86" s="152"/>
      <c r="CV86" s="152"/>
      <c r="CW86" s="152"/>
      <c r="CX86" s="152"/>
      <c r="CY86" s="152"/>
      <c r="CZ86" s="166"/>
      <c r="DA86" s="175">
        <f t="shared" si="48"/>
        <v>100</v>
      </c>
      <c r="DB86" s="186">
        <f t="shared" si="49"/>
        <v>2100</v>
      </c>
      <c r="DC86" s="187">
        <f t="shared" si="50"/>
        <v>200</v>
      </c>
      <c r="DD86" s="187">
        <f t="shared" si="51"/>
        <v>9380</v>
      </c>
      <c r="DE86" s="187">
        <f t="shared" si="52"/>
        <v>74595</v>
      </c>
      <c r="DF86" s="187">
        <f t="shared" si="53"/>
        <v>0</v>
      </c>
      <c r="DG86" s="187">
        <f t="shared" si="54"/>
        <v>0</v>
      </c>
      <c r="DH86" s="187">
        <f t="shared" si="55"/>
        <v>100</v>
      </c>
      <c r="DI86" s="188">
        <v>0</v>
      </c>
      <c r="DJ86" s="188">
        <v>0</v>
      </c>
      <c r="DK86" s="187">
        <f t="shared" si="56"/>
        <v>0</v>
      </c>
      <c r="DL86" s="189">
        <v>0</v>
      </c>
      <c r="DM86" s="190">
        <f t="shared" si="57"/>
        <v>0.11091172214182345</v>
      </c>
      <c r="DN86" s="182"/>
      <c r="DO86" s="183">
        <f t="shared" si="58"/>
        <v>76795</v>
      </c>
      <c r="DP86" s="184">
        <f t="shared" si="59"/>
        <v>9580</v>
      </c>
    </row>
    <row r="87" spans="1:120">
      <c r="A87" s="146"/>
      <c r="B87" s="318">
        <f t="shared" si="60"/>
        <v>45200</v>
      </c>
      <c r="C87" s="150">
        <v>43755</v>
      </c>
      <c r="D87" s="147">
        <v>3500</v>
      </c>
      <c r="E87" s="148">
        <v>6495</v>
      </c>
      <c r="F87" s="149"/>
      <c r="G87" s="148"/>
      <c r="H87" s="150"/>
      <c r="I87" s="147">
        <v>375</v>
      </c>
      <c r="J87" s="150"/>
      <c r="K87" s="150"/>
      <c r="L87" s="150">
        <v>3525</v>
      </c>
      <c r="M87" s="147">
        <v>1950</v>
      </c>
      <c r="N87" s="151"/>
      <c r="O87" s="149">
        <v>7710</v>
      </c>
      <c r="P87" s="152">
        <v>1525</v>
      </c>
      <c r="Q87" s="152"/>
      <c r="R87" s="151"/>
      <c r="S87" s="152">
        <v>50</v>
      </c>
      <c r="T87" s="151">
        <v>160</v>
      </c>
      <c r="U87" s="153"/>
      <c r="V87" s="154"/>
      <c r="W87" s="155"/>
      <c r="X87" s="156"/>
      <c r="Y87" s="152">
        <v>475</v>
      </c>
      <c r="Z87" s="152"/>
      <c r="AA87" s="153"/>
      <c r="AB87" s="154"/>
      <c r="AC87" s="153">
        <v>3780</v>
      </c>
      <c r="AD87" s="154">
        <v>1500</v>
      </c>
      <c r="AE87" s="151"/>
      <c r="AF87" s="151">
        <v>2000</v>
      </c>
      <c r="AG87" s="155"/>
      <c r="AH87" s="153"/>
      <c r="AI87" s="154"/>
      <c r="AJ87" s="157"/>
      <c r="AK87" s="158"/>
      <c r="AL87" s="158"/>
      <c r="AM87" s="158"/>
      <c r="AN87" s="159"/>
      <c r="AO87" s="160">
        <f t="shared" si="61"/>
        <v>76800</v>
      </c>
      <c r="AP87" s="161"/>
      <c r="AQ87" s="161">
        <f t="shared" si="62"/>
        <v>0</v>
      </c>
      <c r="AR87" s="161">
        <f t="shared" si="63"/>
        <v>0</v>
      </c>
      <c r="AS87" s="162">
        <v>115532</v>
      </c>
      <c r="AT87" s="163">
        <f t="shared" si="42"/>
        <v>1.5043229166666667</v>
      </c>
      <c r="AU87" s="164">
        <v>1920</v>
      </c>
      <c r="AV87" s="165">
        <v>8790</v>
      </c>
      <c r="AW87" s="152">
        <v>90</v>
      </c>
      <c r="AX87" s="156">
        <v>5850</v>
      </c>
      <c r="AY87" s="156">
        <v>500</v>
      </c>
      <c r="AZ87" s="156"/>
      <c r="BA87" s="166">
        <v>160</v>
      </c>
      <c r="BB87" s="167">
        <f t="shared" si="43"/>
        <v>17310</v>
      </c>
      <c r="BC87" s="168"/>
      <c r="BD87" s="167">
        <f t="shared" si="44"/>
        <v>0</v>
      </c>
      <c r="BE87" s="169"/>
      <c r="BF87" s="170">
        <v>1000</v>
      </c>
      <c r="BG87" s="171"/>
      <c r="BH87" s="171">
        <v>1475</v>
      </c>
      <c r="BI87" s="172"/>
      <c r="BJ87" s="173">
        <f t="shared" si="45"/>
        <v>2475</v>
      </c>
      <c r="BK87" s="169"/>
      <c r="BL87" s="171">
        <v>960</v>
      </c>
      <c r="BM87" s="171">
        <v>2400</v>
      </c>
      <c r="BN87" s="171">
        <v>2000</v>
      </c>
      <c r="BO87" s="171"/>
      <c r="BP87" s="174"/>
      <c r="BQ87" s="172"/>
      <c r="BR87" s="175">
        <f t="shared" si="46"/>
        <v>5360</v>
      </c>
      <c r="BS87" s="164">
        <v>20</v>
      </c>
      <c r="BT87" s="165">
        <v>180</v>
      </c>
      <c r="BU87" s="165"/>
      <c r="BV87" s="246"/>
      <c r="BW87" s="246">
        <v>100</v>
      </c>
      <c r="BX87" s="246">
        <v>580</v>
      </c>
      <c r="BY87" s="247">
        <v>460</v>
      </c>
      <c r="BZ87" s="247">
        <v>40</v>
      </c>
      <c r="CA87" s="152">
        <v>100</v>
      </c>
      <c r="CB87" s="152">
        <v>100</v>
      </c>
      <c r="CC87" s="165"/>
      <c r="CD87" s="152"/>
      <c r="CE87" s="165"/>
      <c r="CF87" s="152"/>
      <c r="CG87" s="152"/>
      <c r="CH87" s="247"/>
      <c r="CI87" s="247"/>
      <c r="CJ87" s="247"/>
      <c r="CK87" s="152">
        <v>1100</v>
      </c>
      <c r="CL87" s="166">
        <v>280</v>
      </c>
      <c r="CM87" s="176">
        <f t="shared" si="47"/>
        <v>2960</v>
      </c>
      <c r="CN87" s="177"/>
      <c r="CO87" s="152"/>
      <c r="CP87" s="152"/>
      <c r="CQ87" s="152"/>
      <c r="CR87" s="152"/>
      <c r="CS87" s="152"/>
      <c r="CT87" s="152"/>
      <c r="CU87" s="152"/>
      <c r="CV87" s="152"/>
      <c r="CW87" s="152"/>
      <c r="CX87" s="152">
        <v>5</v>
      </c>
      <c r="CY87" s="152"/>
      <c r="CZ87" s="166"/>
      <c r="DA87" s="175">
        <f t="shared" si="48"/>
        <v>5</v>
      </c>
      <c r="DB87" s="178">
        <f t="shared" si="49"/>
        <v>2760</v>
      </c>
      <c r="DC87" s="155">
        <f t="shared" si="50"/>
        <v>200</v>
      </c>
      <c r="DD87" s="155">
        <f t="shared" si="51"/>
        <v>7835</v>
      </c>
      <c r="DE87" s="155">
        <f t="shared" si="52"/>
        <v>81993</v>
      </c>
      <c r="DF87" s="155">
        <f t="shared" si="53"/>
        <v>0</v>
      </c>
      <c r="DG87" s="155">
        <f t="shared" si="54"/>
        <v>0</v>
      </c>
      <c r="DH87" s="155">
        <f t="shared" si="55"/>
        <v>5</v>
      </c>
      <c r="DI87" s="179">
        <v>0</v>
      </c>
      <c r="DJ87" s="179">
        <v>0</v>
      </c>
      <c r="DK87" s="155">
        <f t="shared" si="56"/>
        <v>0</v>
      </c>
      <c r="DL87" s="180">
        <v>0</v>
      </c>
      <c r="DM87" s="181">
        <f t="shared" si="57"/>
        <v>8.6590583341415839E-2</v>
      </c>
      <c r="DN87" s="182"/>
      <c r="DO87" s="183">
        <f t="shared" si="58"/>
        <v>84758</v>
      </c>
      <c r="DP87" s="184">
        <f t="shared" si="59"/>
        <v>8035</v>
      </c>
    </row>
    <row r="88" spans="1:120">
      <c r="A88" s="146"/>
      <c r="B88" s="318">
        <f t="shared" si="60"/>
        <v>45231</v>
      </c>
      <c r="C88" s="150">
        <v>43650</v>
      </c>
      <c r="D88" s="147">
        <v>500</v>
      </c>
      <c r="E88" s="148">
        <v>6765</v>
      </c>
      <c r="F88" s="149"/>
      <c r="G88" s="148"/>
      <c r="H88" s="150"/>
      <c r="I88" s="147">
        <v>225</v>
      </c>
      <c r="J88" s="150"/>
      <c r="K88" s="150"/>
      <c r="L88" s="150">
        <v>3925</v>
      </c>
      <c r="M88" s="147">
        <v>2310</v>
      </c>
      <c r="N88" s="151"/>
      <c r="O88" s="149">
        <v>4455</v>
      </c>
      <c r="P88" s="152">
        <v>275</v>
      </c>
      <c r="Q88" s="152"/>
      <c r="R88" s="151"/>
      <c r="S88" s="152"/>
      <c r="T88" s="151">
        <v>200</v>
      </c>
      <c r="U88" s="153"/>
      <c r="V88" s="154"/>
      <c r="W88" s="155"/>
      <c r="X88" s="156"/>
      <c r="Y88" s="152">
        <v>375</v>
      </c>
      <c r="Z88" s="152"/>
      <c r="AA88" s="153"/>
      <c r="AB88" s="154"/>
      <c r="AC88" s="153">
        <v>2520</v>
      </c>
      <c r="AD88" s="154">
        <v>1000</v>
      </c>
      <c r="AE88" s="151"/>
      <c r="AF88" s="151">
        <v>2000</v>
      </c>
      <c r="AG88" s="155"/>
      <c r="AH88" s="153"/>
      <c r="AI88" s="154"/>
      <c r="AJ88" s="157"/>
      <c r="AK88" s="158"/>
      <c r="AL88" s="158"/>
      <c r="AM88" s="158"/>
      <c r="AN88" s="159"/>
      <c r="AO88" s="160">
        <f t="shared" si="61"/>
        <v>68200</v>
      </c>
      <c r="AP88" s="161"/>
      <c r="AQ88" s="161">
        <f t="shared" si="62"/>
        <v>0</v>
      </c>
      <c r="AR88" s="161">
        <f t="shared" si="63"/>
        <v>0</v>
      </c>
      <c r="AS88" s="162">
        <v>118066</v>
      </c>
      <c r="AT88" s="163">
        <f t="shared" si="42"/>
        <v>1.7311730205278593</v>
      </c>
      <c r="AU88" s="164">
        <v>1860</v>
      </c>
      <c r="AV88" s="165">
        <v>11130</v>
      </c>
      <c r="AW88" s="152"/>
      <c r="AX88" s="156"/>
      <c r="AY88" s="156"/>
      <c r="AZ88" s="156"/>
      <c r="BA88" s="166"/>
      <c r="BB88" s="167">
        <f t="shared" si="43"/>
        <v>12990</v>
      </c>
      <c r="BC88" s="168"/>
      <c r="BD88" s="167">
        <f t="shared" si="44"/>
        <v>0</v>
      </c>
      <c r="BE88" s="169"/>
      <c r="BF88" s="170"/>
      <c r="BG88" s="171"/>
      <c r="BH88" s="171">
        <v>375</v>
      </c>
      <c r="BI88" s="172"/>
      <c r="BJ88" s="173">
        <f t="shared" si="45"/>
        <v>375</v>
      </c>
      <c r="BK88" s="169"/>
      <c r="BL88" s="171">
        <v>1600</v>
      </c>
      <c r="BM88" s="171">
        <v>1600</v>
      </c>
      <c r="BN88" s="171">
        <v>2000</v>
      </c>
      <c r="BO88" s="171"/>
      <c r="BP88" s="174"/>
      <c r="BQ88" s="172"/>
      <c r="BR88" s="175">
        <f t="shared" si="46"/>
        <v>5200</v>
      </c>
      <c r="BS88" s="164">
        <v>20</v>
      </c>
      <c r="BT88" s="165">
        <v>80</v>
      </c>
      <c r="BU88" s="165"/>
      <c r="BV88" s="246"/>
      <c r="BW88" s="246">
        <v>20</v>
      </c>
      <c r="BX88" s="246">
        <v>320</v>
      </c>
      <c r="BY88" s="247">
        <v>420</v>
      </c>
      <c r="BZ88" s="247"/>
      <c r="CA88" s="152">
        <v>100</v>
      </c>
      <c r="CB88" s="152">
        <v>100</v>
      </c>
      <c r="CC88" s="165"/>
      <c r="CD88" s="152"/>
      <c r="CE88" s="165"/>
      <c r="CF88" s="152"/>
      <c r="CG88" s="152"/>
      <c r="CH88" s="247"/>
      <c r="CI88" s="247"/>
      <c r="CJ88" s="247"/>
      <c r="CK88" s="152">
        <v>420</v>
      </c>
      <c r="CL88" s="166"/>
      <c r="CM88" s="176">
        <f t="shared" si="47"/>
        <v>1480</v>
      </c>
      <c r="CN88" s="177"/>
      <c r="CO88" s="152"/>
      <c r="CP88" s="152"/>
      <c r="CQ88" s="152"/>
      <c r="CR88" s="152">
        <v>20</v>
      </c>
      <c r="CS88" s="152">
        <v>30</v>
      </c>
      <c r="CT88" s="152"/>
      <c r="CU88" s="152"/>
      <c r="CV88" s="152"/>
      <c r="CW88" s="152"/>
      <c r="CX88" s="152">
        <v>40</v>
      </c>
      <c r="CY88" s="152"/>
      <c r="CZ88" s="166"/>
      <c r="DA88" s="175">
        <f t="shared" si="48"/>
        <v>90</v>
      </c>
      <c r="DB88" s="186">
        <f t="shared" si="49"/>
        <v>1280</v>
      </c>
      <c r="DC88" s="187">
        <f t="shared" si="50"/>
        <v>200</v>
      </c>
      <c r="DD88" s="187">
        <f t="shared" si="51"/>
        <v>5575</v>
      </c>
      <c r="DE88" s="187">
        <f t="shared" si="52"/>
        <v>72097</v>
      </c>
      <c r="DF88" s="187">
        <f t="shared" si="53"/>
        <v>0</v>
      </c>
      <c r="DG88" s="187">
        <f t="shared" si="54"/>
        <v>0</v>
      </c>
      <c r="DH88" s="187">
        <f t="shared" si="55"/>
        <v>90</v>
      </c>
      <c r="DI88" s="188">
        <v>0</v>
      </c>
      <c r="DJ88" s="188">
        <v>0</v>
      </c>
      <c r="DK88" s="187">
        <f t="shared" si="56"/>
        <v>0</v>
      </c>
      <c r="DL88" s="189">
        <v>0</v>
      </c>
      <c r="DM88" s="190">
        <f t="shared" si="57"/>
        <v>7.2878019232225338E-2</v>
      </c>
      <c r="DN88" s="182"/>
      <c r="DO88" s="183">
        <f t="shared" si="58"/>
        <v>73467</v>
      </c>
      <c r="DP88" s="184">
        <f t="shared" si="59"/>
        <v>5775</v>
      </c>
    </row>
    <row r="89" spans="1:120">
      <c r="A89" s="146"/>
      <c r="B89" s="318">
        <f t="shared" si="60"/>
        <v>45261</v>
      </c>
      <c r="C89" s="150">
        <v>43440</v>
      </c>
      <c r="D89" s="147">
        <v>3000</v>
      </c>
      <c r="E89" s="148">
        <v>6465</v>
      </c>
      <c r="F89" s="149"/>
      <c r="G89" s="148"/>
      <c r="H89" s="150"/>
      <c r="I89" s="147"/>
      <c r="J89" s="150"/>
      <c r="K89" s="150"/>
      <c r="L89" s="150">
        <v>5050</v>
      </c>
      <c r="M89" s="147">
        <v>2025</v>
      </c>
      <c r="N89" s="151"/>
      <c r="O89" s="149">
        <v>4650</v>
      </c>
      <c r="P89" s="152">
        <v>150</v>
      </c>
      <c r="Q89" s="152"/>
      <c r="R89" s="151"/>
      <c r="S89" s="152"/>
      <c r="T89" s="151"/>
      <c r="U89" s="153"/>
      <c r="V89" s="154"/>
      <c r="W89" s="155"/>
      <c r="X89" s="156"/>
      <c r="Y89" s="152">
        <v>525</v>
      </c>
      <c r="Z89" s="152"/>
      <c r="AA89" s="153"/>
      <c r="AB89" s="154"/>
      <c r="AC89" s="153">
        <v>3780</v>
      </c>
      <c r="AD89" s="154">
        <v>1000</v>
      </c>
      <c r="AE89" s="151"/>
      <c r="AF89" s="151"/>
      <c r="AG89" s="155"/>
      <c r="AH89" s="153"/>
      <c r="AI89" s="154"/>
      <c r="AJ89" s="157"/>
      <c r="AK89" s="158"/>
      <c r="AL89" s="158"/>
      <c r="AM89" s="158"/>
      <c r="AN89" s="159"/>
      <c r="AO89" s="160">
        <f t="shared" si="61"/>
        <v>70085</v>
      </c>
      <c r="AP89" s="161"/>
      <c r="AQ89" s="161">
        <f t="shared" si="62"/>
        <v>0</v>
      </c>
      <c r="AR89" s="161">
        <f t="shared" si="63"/>
        <v>0</v>
      </c>
      <c r="AS89" s="162">
        <v>105221</v>
      </c>
      <c r="AT89" s="163">
        <f t="shared" si="42"/>
        <v>1.5013340943140472</v>
      </c>
      <c r="AU89" s="164">
        <v>720</v>
      </c>
      <c r="AV89" s="165">
        <v>7710</v>
      </c>
      <c r="AW89" s="152">
        <v>180</v>
      </c>
      <c r="AX89" s="156">
        <v>2750</v>
      </c>
      <c r="AY89" s="156">
        <v>500</v>
      </c>
      <c r="AZ89" s="156"/>
      <c r="BA89" s="166">
        <v>120</v>
      </c>
      <c r="BB89" s="167">
        <f t="shared" si="43"/>
        <v>11980</v>
      </c>
      <c r="BC89" s="168"/>
      <c r="BD89" s="167">
        <f t="shared" si="44"/>
        <v>0</v>
      </c>
      <c r="BE89" s="169"/>
      <c r="BF89" s="170">
        <v>500</v>
      </c>
      <c r="BG89" s="171"/>
      <c r="BH89" s="171">
        <v>250</v>
      </c>
      <c r="BI89" s="172"/>
      <c r="BJ89" s="173">
        <f t="shared" si="45"/>
        <v>750</v>
      </c>
      <c r="BK89" s="169"/>
      <c r="BL89" s="171">
        <v>500</v>
      </c>
      <c r="BM89" s="171">
        <v>2400</v>
      </c>
      <c r="BN89" s="171">
        <v>2000</v>
      </c>
      <c r="BO89" s="171"/>
      <c r="BP89" s="174"/>
      <c r="BQ89" s="172"/>
      <c r="BR89" s="175">
        <f t="shared" si="46"/>
        <v>4900</v>
      </c>
      <c r="BS89" s="164">
        <v>100</v>
      </c>
      <c r="BT89" s="165">
        <v>220</v>
      </c>
      <c r="BU89" s="165"/>
      <c r="BV89" s="246"/>
      <c r="BW89" s="246">
        <v>60</v>
      </c>
      <c r="BX89" s="246">
        <v>540</v>
      </c>
      <c r="BY89" s="247">
        <v>400</v>
      </c>
      <c r="BZ89" s="247">
        <v>60</v>
      </c>
      <c r="CA89" s="152">
        <v>100</v>
      </c>
      <c r="CB89" s="152">
        <v>100</v>
      </c>
      <c r="CC89" s="165"/>
      <c r="CD89" s="152"/>
      <c r="CE89" s="165"/>
      <c r="CF89" s="152"/>
      <c r="CG89" s="152"/>
      <c r="CH89" s="247">
        <v>60</v>
      </c>
      <c r="CI89" s="247"/>
      <c r="CJ89" s="247"/>
      <c r="CK89" s="152">
        <v>960</v>
      </c>
      <c r="CL89" s="166">
        <v>100</v>
      </c>
      <c r="CM89" s="176">
        <f t="shared" si="47"/>
        <v>2700</v>
      </c>
      <c r="CN89" s="177"/>
      <c r="CO89" s="152"/>
      <c r="CP89" s="152"/>
      <c r="CQ89" s="152"/>
      <c r="CR89" s="152"/>
      <c r="CS89" s="152"/>
      <c r="CT89" s="152"/>
      <c r="CU89" s="152"/>
      <c r="CV89" s="152"/>
      <c r="CW89" s="152"/>
      <c r="CX89" s="152"/>
      <c r="CY89" s="152"/>
      <c r="CZ89" s="166"/>
      <c r="DA89" s="175">
        <f t="shared" si="48"/>
        <v>0</v>
      </c>
      <c r="DB89" s="178">
        <f t="shared" si="49"/>
        <v>2500</v>
      </c>
      <c r="DC89" s="155">
        <f t="shared" si="50"/>
        <v>200</v>
      </c>
      <c r="DD89" s="155">
        <f t="shared" si="51"/>
        <v>5650</v>
      </c>
      <c r="DE89" s="155">
        <f t="shared" si="52"/>
        <v>73679</v>
      </c>
      <c r="DF89" s="155">
        <f t="shared" si="53"/>
        <v>0</v>
      </c>
      <c r="DG89" s="155">
        <f t="shared" si="54"/>
        <v>0</v>
      </c>
      <c r="DH89" s="155">
        <f t="shared" si="55"/>
        <v>0</v>
      </c>
      <c r="DI89" s="179">
        <v>0</v>
      </c>
      <c r="DJ89" s="179">
        <v>0</v>
      </c>
      <c r="DK89" s="155">
        <f t="shared" si="56"/>
        <v>0</v>
      </c>
      <c r="DL89" s="180">
        <v>0</v>
      </c>
      <c r="DM89" s="181">
        <f t="shared" si="57"/>
        <v>7.131624181691841E-2</v>
      </c>
      <c r="DN89" s="182"/>
      <c r="DO89" s="183">
        <f t="shared" si="58"/>
        <v>76179</v>
      </c>
      <c r="DP89" s="184">
        <f t="shared" si="59"/>
        <v>5850</v>
      </c>
    </row>
    <row r="90" spans="1:120">
      <c r="A90" s="146"/>
      <c r="B90" s="318">
        <f t="shared" si="60"/>
        <v>45292</v>
      </c>
      <c r="C90" s="150">
        <v>32760</v>
      </c>
      <c r="D90" s="147">
        <v>1500</v>
      </c>
      <c r="E90" s="148">
        <v>4980</v>
      </c>
      <c r="F90" s="149"/>
      <c r="G90" s="148"/>
      <c r="H90" s="150"/>
      <c r="I90" s="147">
        <v>120</v>
      </c>
      <c r="J90" s="150"/>
      <c r="K90" s="150"/>
      <c r="L90" s="150">
        <v>3075</v>
      </c>
      <c r="M90" s="147">
        <v>960</v>
      </c>
      <c r="N90" s="151">
        <v>420</v>
      </c>
      <c r="O90" s="149">
        <v>8385</v>
      </c>
      <c r="P90" s="152">
        <v>375</v>
      </c>
      <c r="Q90" s="152"/>
      <c r="R90" s="151"/>
      <c r="S90" s="152"/>
      <c r="T90" s="151">
        <v>160</v>
      </c>
      <c r="U90" s="153"/>
      <c r="V90" s="154"/>
      <c r="W90" s="155"/>
      <c r="X90" s="156"/>
      <c r="Y90" s="152">
        <v>475</v>
      </c>
      <c r="Z90" s="152"/>
      <c r="AA90" s="153"/>
      <c r="AB90" s="154"/>
      <c r="AC90" s="153">
        <v>3780</v>
      </c>
      <c r="AD90" s="154">
        <v>2000</v>
      </c>
      <c r="AE90" s="151"/>
      <c r="AF90" s="151">
        <v>2000</v>
      </c>
      <c r="AG90" s="155"/>
      <c r="AH90" s="153"/>
      <c r="AI90" s="154"/>
      <c r="AJ90" s="157"/>
      <c r="AK90" s="158">
        <v>1000</v>
      </c>
      <c r="AL90" s="158"/>
      <c r="AM90" s="158"/>
      <c r="AN90" s="159"/>
      <c r="AO90" s="160">
        <f t="shared" si="61"/>
        <v>61570</v>
      </c>
      <c r="AP90" s="161"/>
      <c r="AQ90" s="161">
        <f t="shared" si="62"/>
        <v>0</v>
      </c>
      <c r="AR90" s="161">
        <f t="shared" si="63"/>
        <v>420</v>
      </c>
      <c r="AS90" s="162">
        <v>97643</v>
      </c>
      <c r="AT90" s="163">
        <f t="shared" si="42"/>
        <v>1.5751411517986773</v>
      </c>
      <c r="AU90" s="164">
        <v>1560</v>
      </c>
      <c r="AV90" s="165">
        <v>8850</v>
      </c>
      <c r="AW90" s="152">
        <v>180</v>
      </c>
      <c r="AX90" s="156">
        <v>4700</v>
      </c>
      <c r="AY90" s="156">
        <v>1650</v>
      </c>
      <c r="AZ90" s="156">
        <v>60</v>
      </c>
      <c r="BA90" s="166">
        <v>440</v>
      </c>
      <c r="BB90" s="167">
        <f t="shared" si="43"/>
        <v>17440</v>
      </c>
      <c r="BC90" s="168"/>
      <c r="BD90" s="167">
        <f t="shared" si="44"/>
        <v>0</v>
      </c>
      <c r="BE90" s="169"/>
      <c r="BF90" s="170">
        <v>1000</v>
      </c>
      <c r="BG90" s="171">
        <v>1500</v>
      </c>
      <c r="BH90" s="171">
        <v>275</v>
      </c>
      <c r="BI90" s="172"/>
      <c r="BJ90" s="173">
        <f t="shared" si="45"/>
        <v>2775</v>
      </c>
      <c r="BK90" s="169"/>
      <c r="BL90" s="171">
        <v>400</v>
      </c>
      <c r="BM90" s="171">
        <v>1600</v>
      </c>
      <c r="BN90" s="171">
        <v>4000</v>
      </c>
      <c r="BO90" s="171"/>
      <c r="BP90" s="174"/>
      <c r="BQ90" s="172"/>
      <c r="BR90" s="175">
        <f t="shared" si="46"/>
        <v>6000</v>
      </c>
      <c r="BS90" s="164">
        <v>40</v>
      </c>
      <c r="BT90" s="165">
        <v>160</v>
      </c>
      <c r="BU90" s="165"/>
      <c r="BV90" s="246"/>
      <c r="BW90" s="246"/>
      <c r="BX90" s="246">
        <v>320</v>
      </c>
      <c r="BY90" s="247">
        <v>240</v>
      </c>
      <c r="BZ90" s="247"/>
      <c r="CA90" s="152">
        <v>100</v>
      </c>
      <c r="CB90" s="152">
        <v>100</v>
      </c>
      <c r="CC90" s="165"/>
      <c r="CD90" s="152"/>
      <c r="CE90" s="165"/>
      <c r="CF90" s="152"/>
      <c r="CG90" s="152"/>
      <c r="CH90" s="247"/>
      <c r="CI90" s="247"/>
      <c r="CJ90" s="247"/>
      <c r="CK90" s="152">
        <v>580</v>
      </c>
      <c r="CL90" s="166">
        <v>100</v>
      </c>
      <c r="CM90" s="176">
        <f t="shared" si="47"/>
        <v>1640</v>
      </c>
      <c r="CN90" s="177"/>
      <c r="CO90" s="152"/>
      <c r="CP90" s="152"/>
      <c r="CQ90" s="152"/>
      <c r="CR90" s="152"/>
      <c r="CS90" s="152"/>
      <c r="CT90" s="152"/>
      <c r="CU90" s="152"/>
      <c r="CV90" s="152">
        <v>5</v>
      </c>
      <c r="CW90" s="152"/>
      <c r="CX90" s="152">
        <v>30</v>
      </c>
      <c r="CY90" s="152">
        <v>20</v>
      </c>
      <c r="CZ90" s="166"/>
      <c r="DA90" s="175">
        <f t="shared" si="48"/>
        <v>55</v>
      </c>
      <c r="DB90" s="178">
        <f t="shared" si="49"/>
        <v>1440</v>
      </c>
      <c r="DC90" s="155">
        <f t="shared" si="50"/>
        <v>200</v>
      </c>
      <c r="DD90" s="155">
        <f t="shared" si="51"/>
        <v>8775</v>
      </c>
      <c r="DE90" s="155">
        <f t="shared" si="52"/>
        <v>66802</v>
      </c>
      <c r="DF90" s="155">
        <f t="shared" si="53"/>
        <v>0</v>
      </c>
      <c r="DG90" s="155">
        <f t="shared" si="54"/>
        <v>420</v>
      </c>
      <c r="DH90" s="155">
        <f t="shared" si="55"/>
        <v>55</v>
      </c>
      <c r="DI90" s="179">
        <v>0</v>
      </c>
      <c r="DJ90" s="179">
        <v>0</v>
      </c>
      <c r="DK90" s="155">
        <f t="shared" si="56"/>
        <v>0</v>
      </c>
      <c r="DL90" s="180">
        <v>0</v>
      </c>
      <c r="DM90" s="181">
        <f t="shared" si="57"/>
        <v>0.12092622148998609</v>
      </c>
      <c r="DN90" s="182"/>
      <c r="DO90" s="183">
        <f t="shared" si="58"/>
        <v>68297</v>
      </c>
      <c r="DP90" s="184">
        <f t="shared" si="59"/>
        <v>9395</v>
      </c>
    </row>
    <row r="91" spans="1:120">
      <c r="A91" s="146"/>
      <c r="B91" s="318">
        <f t="shared" si="60"/>
        <v>45323</v>
      </c>
      <c r="C91" s="150">
        <v>38880</v>
      </c>
      <c r="D91" s="147">
        <v>1500</v>
      </c>
      <c r="E91" s="148">
        <v>3360</v>
      </c>
      <c r="F91" s="149"/>
      <c r="G91" s="148"/>
      <c r="H91" s="150"/>
      <c r="I91" s="147">
        <v>450</v>
      </c>
      <c r="J91" s="150"/>
      <c r="K91" s="150"/>
      <c r="L91" s="150">
        <v>2450</v>
      </c>
      <c r="M91" s="147">
        <v>405</v>
      </c>
      <c r="N91" s="151"/>
      <c r="O91" s="149">
        <v>4635</v>
      </c>
      <c r="P91" s="152">
        <v>250</v>
      </c>
      <c r="Q91" s="152"/>
      <c r="R91" s="151"/>
      <c r="S91" s="152"/>
      <c r="T91" s="151"/>
      <c r="U91" s="153"/>
      <c r="V91" s="154"/>
      <c r="W91" s="155"/>
      <c r="X91" s="156"/>
      <c r="Y91" s="152">
        <v>525</v>
      </c>
      <c r="Z91" s="152"/>
      <c r="AA91" s="153"/>
      <c r="AB91" s="154"/>
      <c r="AC91" s="153">
        <v>2520</v>
      </c>
      <c r="AD91" s="154">
        <v>1000</v>
      </c>
      <c r="AE91" s="151"/>
      <c r="AF91" s="151">
        <v>4000</v>
      </c>
      <c r="AG91" s="155"/>
      <c r="AH91" s="153"/>
      <c r="AI91" s="154"/>
      <c r="AJ91" s="157"/>
      <c r="AK91" s="158"/>
      <c r="AL91" s="158"/>
      <c r="AM91" s="158"/>
      <c r="AN91" s="159"/>
      <c r="AO91" s="160">
        <f t="shared" si="61"/>
        <v>59975</v>
      </c>
      <c r="AP91" s="161"/>
      <c r="AQ91" s="161">
        <f t="shared" si="62"/>
        <v>0</v>
      </c>
      <c r="AR91" s="161">
        <f t="shared" si="63"/>
        <v>0</v>
      </c>
      <c r="AS91" s="162">
        <v>102178</v>
      </c>
      <c r="AT91" s="163">
        <f t="shared" si="42"/>
        <v>1.7036765318882867</v>
      </c>
      <c r="AU91" s="164">
        <v>2160</v>
      </c>
      <c r="AV91" s="165">
        <v>5640</v>
      </c>
      <c r="AW91" s="152">
        <v>300</v>
      </c>
      <c r="AX91" s="156">
        <v>1000</v>
      </c>
      <c r="AY91" s="156">
        <v>1000</v>
      </c>
      <c r="AZ91" s="156"/>
      <c r="BA91" s="166"/>
      <c r="BB91" s="167">
        <f t="shared" si="43"/>
        <v>10100</v>
      </c>
      <c r="BC91" s="168"/>
      <c r="BD91" s="167">
        <f t="shared" si="44"/>
        <v>0</v>
      </c>
      <c r="BE91" s="169"/>
      <c r="BF91" s="170"/>
      <c r="BG91" s="171"/>
      <c r="BH91" s="171">
        <v>1075</v>
      </c>
      <c r="BI91" s="172"/>
      <c r="BJ91" s="173">
        <f t="shared" si="45"/>
        <v>1075</v>
      </c>
      <c r="BK91" s="169"/>
      <c r="BL91" s="171">
        <v>1300</v>
      </c>
      <c r="BM91" s="171">
        <v>3200</v>
      </c>
      <c r="BN91" s="171">
        <v>3000</v>
      </c>
      <c r="BO91" s="171"/>
      <c r="BP91" s="174"/>
      <c r="BQ91" s="172"/>
      <c r="BR91" s="175">
        <f t="shared" si="46"/>
        <v>7500</v>
      </c>
      <c r="BS91" s="164">
        <v>40</v>
      </c>
      <c r="BT91" s="165">
        <v>20</v>
      </c>
      <c r="BU91" s="165"/>
      <c r="BV91" s="246">
        <v>40</v>
      </c>
      <c r="BW91" s="246">
        <v>60</v>
      </c>
      <c r="BX91" s="246">
        <v>500</v>
      </c>
      <c r="BY91" s="247">
        <v>300</v>
      </c>
      <c r="BZ91" s="247">
        <v>100</v>
      </c>
      <c r="CA91" s="152">
        <v>100</v>
      </c>
      <c r="CB91" s="152">
        <v>100</v>
      </c>
      <c r="CC91" s="165"/>
      <c r="CD91" s="152"/>
      <c r="CE91" s="165"/>
      <c r="CF91" s="152"/>
      <c r="CG91" s="152"/>
      <c r="CH91" s="247"/>
      <c r="CI91" s="247"/>
      <c r="CJ91" s="247"/>
      <c r="CK91" s="152">
        <v>700</v>
      </c>
      <c r="CL91" s="166">
        <v>120</v>
      </c>
      <c r="CM91" s="176">
        <f t="shared" si="47"/>
        <v>2080</v>
      </c>
      <c r="CN91" s="177"/>
      <c r="CO91" s="152"/>
      <c r="CP91" s="152"/>
      <c r="CQ91" s="152"/>
      <c r="CR91" s="152">
        <v>30</v>
      </c>
      <c r="CS91" s="152">
        <v>30</v>
      </c>
      <c r="CT91" s="152">
        <v>80</v>
      </c>
      <c r="CU91" s="152">
        <v>20</v>
      </c>
      <c r="CV91" s="152">
        <v>20</v>
      </c>
      <c r="CW91" s="152"/>
      <c r="CX91" s="152">
        <v>50</v>
      </c>
      <c r="CY91" s="152">
        <v>20</v>
      </c>
      <c r="CZ91" s="166"/>
      <c r="DA91" s="175">
        <f t="shared" si="48"/>
        <v>250</v>
      </c>
      <c r="DB91" s="178">
        <f t="shared" si="49"/>
        <v>1880</v>
      </c>
      <c r="DC91" s="155">
        <f t="shared" si="50"/>
        <v>200</v>
      </c>
      <c r="DD91" s="155">
        <f t="shared" si="51"/>
        <v>8575</v>
      </c>
      <c r="DE91" s="155">
        <f t="shared" si="52"/>
        <v>63005</v>
      </c>
      <c r="DF91" s="155">
        <f t="shared" si="53"/>
        <v>0</v>
      </c>
      <c r="DG91" s="155">
        <f t="shared" si="54"/>
        <v>0</v>
      </c>
      <c r="DH91" s="155">
        <f t="shared" si="55"/>
        <v>250</v>
      </c>
      <c r="DI91" s="179">
        <v>0</v>
      </c>
      <c r="DJ91" s="179">
        <v>0</v>
      </c>
      <c r="DK91" s="155">
        <f t="shared" si="56"/>
        <v>0</v>
      </c>
      <c r="DL91" s="180">
        <v>0</v>
      </c>
      <c r="DM91" s="181">
        <f t="shared" si="57"/>
        <v>0.11872547693140306</v>
      </c>
      <c r="DN91" s="182"/>
      <c r="DO91" s="183">
        <f t="shared" si="58"/>
        <v>65135</v>
      </c>
      <c r="DP91" s="184">
        <f t="shared" si="59"/>
        <v>8775</v>
      </c>
    </row>
    <row r="92" spans="1:120" ht="16.5" thickBot="1">
      <c r="A92" s="185"/>
      <c r="B92" s="319">
        <f t="shared" si="60"/>
        <v>45352</v>
      </c>
      <c r="C92" s="204">
        <v>41040</v>
      </c>
      <c r="D92" s="201">
        <v>3000</v>
      </c>
      <c r="E92" s="202">
        <v>4815</v>
      </c>
      <c r="F92" s="203"/>
      <c r="G92" s="202"/>
      <c r="H92" s="204"/>
      <c r="I92" s="201">
        <v>435</v>
      </c>
      <c r="J92" s="204"/>
      <c r="K92" s="204"/>
      <c r="L92" s="204">
        <v>5875</v>
      </c>
      <c r="M92" s="201"/>
      <c r="N92" s="205"/>
      <c r="O92" s="203">
        <v>7500</v>
      </c>
      <c r="P92" s="206">
        <v>250</v>
      </c>
      <c r="Q92" s="206"/>
      <c r="R92" s="205"/>
      <c r="S92" s="206">
        <v>20</v>
      </c>
      <c r="T92" s="205">
        <v>320</v>
      </c>
      <c r="U92" s="207"/>
      <c r="V92" s="208"/>
      <c r="W92" s="209"/>
      <c r="X92" s="210"/>
      <c r="Y92" s="206">
        <v>887.5</v>
      </c>
      <c r="Z92" s="206"/>
      <c r="AA92" s="207"/>
      <c r="AB92" s="208"/>
      <c r="AC92" s="207">
        <v>5040</v>
      </c>
      <c r="AD92" s="208">
        <v>1500</v>
      </c>
      <c r="AE92" s="205"/>
      <c r="AF92" s="205">
        <v>2000</v>
      </c>
      <c r="AG92" s="209"/>
      <c r="AH92" s="207"/>
      <c r="AI92" s="208"/>
      <c r="AJ92" s="211"/>
      <c r="AK92" s="212"/>
      <c r="AL92" s="212"/>
      <c r="AM92" s="212"/>
      <c r="AN92" s="213"/>
      <c r="AO92" s="214">
        <f t="shared" si="61"/>
        <v>72682.5</v>
      </c>
      <c r="AP92" s="215"/>
      <c r="AQ92" s="215">
        <f t="shared" si="62"/>
        <v>0</v>
      </c>
      <c r="AR92" s="215">
        <f t="shared" si="63"/>
        <v>0</v>
      </c>
      <c r="AS92" s="216">
        <v>112058</v>
      </c>
      <c r="AT92" s="217">
        <f t="shared" si="42"/>
        <v>1.5417466377738795</v>
      </c>
      <c r="AU92" s="218">
        <v>4440</v>
      </c>
      <c r="AV92" s="219">
        <v>7170</v>
      </c>
      <c r="AW92" s="206">
        <v>90</v>
      </c>
      <c r="AX92" s="210">
        <v>4100</v>
      </c>
      <c r="AY92" s="210">
        <v>1050</v>
      </c>
      <c r="AZ92" s="210"/>
      <c r="BA92" s="220">
        <v>320</v>
      </c>
      <c r="BB92" s="221">
        <f t="shared" si="43"/>
        <v>17170</v>
      </c>
      <c r="BC92" s="222"/>
      <c r="BD92" s="221">
        <f t="shared" si="44"/>
        <v>0</v>
      </c>
      <c r="BE92" s="223"/>
      <c r="BF92" s="224">
        <v>1000</v>
      </c>
      <c r="BG92" s="225">
        <v>1000</v>
      </c>
      <c r="BH92" s="225">
        <v>425</v>
      </c>
      <c r="BI92" s="226"/>
      <c r="BJ92" s="227">
        <f t="shared" si="45"/>
        <v>2425</v>
      </c>
      <c r="BK92" s="223"/>
      <c r="BL92" s="225">
        <v>1440</v>
      </c>
      <c r="BM92" s="225">
        <v>2400</v>
      </c>
      <c r="BN92" s="225">
        <v>3000</v>
      </c>
      <c r="BO92" s="225">
        <v>1250</v>
      </c>
      <c r="BP92" s="228"/>
      <c r="BQ92" s="226"/>
      <c r="BR92" s="229">
        <f t="shared" si="46"/>
        <v>8090</v>
      </c>
      <c r="BS92" s="218"/>
      <c r="BT92" s="219">
        <v>200</v>
      </c>
      <c r="BU92" s="219"/>
      <c r="BV92" s="248"/>
      <c r="BW92" s="248"/>
      <c r="BX92" s="248">
        <v>600</v>
      </c>
      <c r="BY92" s="249">
        <v>360</v>
      </c>
      <c r="BZ92" s="249"/>
      <c r="CA92" s="206">
        <v>100</v>
      </c>
      <c r="CB92" s="206">
        <v>100</v>
      </c>
      <c r="CC92" s="219"/>
      <c r="CD92" s="206"/>
      <c r="CE92" s="219"/>
      <c r="CF92" s="206"/>
      <c r="CG92" s="206"/>
      <c r="CH92" s="249"/>
      <c r="CI92" s="249"/>
      <c r="CJ92" s="249"/>
      <c r="CK92" s="206">
        <v>760</v>
      </c>
      <c r="CL92" s="220">
        <v>260</v>
      </c>
      <c r="CM92" s="230">
        <f t="shared" si="47"/>
        <v>2380</v>
      </c>
      <c r="CN92" s="231"/>
      <c r="CO92" s="206"/>
      <c r="CP92" s="206"/>
      <c r="CQ92" s="206"/>
      <c r="CR92" s="206">
        <v>50</v>
      </c>
      <c r="CS92" s="206">
        <v>65</v>
      </c>
      <c r="CT92" s="206">
        <v>50</v>
      </c>
      <c r="CU92" s="206">
        <v>50</v>
      </c>
      <c r="CV92" s="206"/>
      <c r="CW92" s="206">
        <v>25</v>
      </c>
      <c r="CX92" s="206"/>
      <c r="CY92" s="206"/>
      <c r="CZ92" s="220"/>
      <c r="DA92" s="229">
        <f t="shared" si="48"/>
        <v>240</v>
      </c>
      <c r="DB92" s="240">
        <f t="shared" si="49"/>
        <v>2180</v>
      </c>
      <c r="DC92" s="209">
        <f t="shared" si="50"/>
        <v>200</v>
      </c>
      <c r="DD92" s="209">
        <f t="shared" si="51"/>
        <v>10515</v>
      </c>
      <c r="DE92" s="209">
        <f t="shared" si="52"/>
        <v>77833.5</v>
      </c>
      <c r="DF92" s="209">
        <f t="shared" si="53"/>
        <v>0</v>
      </c>
      <c r="DG92" s="209">
        <f t="shared" si="54"/>
        <v>0</v>
      </c>
      <c r="DH92" s="209">
        <f t="shared" si="55"/>
        <v>240</v>
      </c>
      <c r="DI92" s="241">
        <v>0</v>
      </c>
      <c r="DJ92" s="241">
        <v>0</v>
      </c>
      <c r="DK92" s="209">
        <f t="shared" si="56"/>
        <v>0</v>
      </c>
      <c r="DL92" s="242">
        <v>0</v>
      </c>
      <c r="DM92" s="243">
        <f t="shared" si="57"/>
        <v>0.11778802552531921</v>
      </c>
      <c r="DN92" s="237"/>
      <c r="DO92" s="238">
        <f t="shared" si="58"/>
        <v>80253.5</v>
      </c>
      <c r="DP92" s="239">
        <f t="shared" si="59"/>
        <v>10715</v>
      </c>
    </row>
    <row r="93" spans="1:120">
      <c r="A93" s="191">
        <f>A81+1</f>
        <v>2024</v>
      </c>
      <c r="B93" s="317">
        <f t="shared" si="60"/>
        <v>45383</v>
      </c>
      <c r="C93" s="109">
        <v>47385</v>
      </c>
      <c r="D93" s="106">
        <v>1500</v>
      </c>
      <c r="E93" s="107">
        <v>4035</v>
      </c>
      <c r="F93" s="111"/>
      <c r="G93" s="107"/>
      <c r="H93" s="109"/>
      <c r="I93" s="106">
        <v>135</v>
      </c>
      <c r="J93" s="109"/>
      <c r="K93" s="109"/>
      <c r="L93" s="109">
        <v>562.5</v>
      </c>
      <c r="M93" s="106">
        <v>375</v>
      </c>
      <c r="N93" s="110"/>
      <c r="O93" s="111">
        <v>5220</v>
      </c>
      <c r="P93" s="112">
        <v>2325</v>
      </c>
      <c r="Q93" s="112"/>
      <c r="R93" s="110"/>
      <c r="S93" s="112"/>
      <c r="T93" s="110"/>
      <c r="U93" s="113"/>
      <c r="V93" s="114"/>
      <c r="W93" s="115"/>
      <c r="X93" s="116"/>
      <c r="Y93" s="112">
        <v>862.5</v>
      </c>
      <c r="Z93" s="112"/>
      <c r="AA93" s="113"/>
      <c r="AB93" s="114"/>
      <c r="AC93" s="113">
        <v>3780</v>
      </c>
      <c r="AD93" s="114">
        <v>2500</v>
      </c>
      <c r="AE93" s="110"/>
      <c r="AF93" s="110">
        <v>2000</v>
      </c>
      <c r="AG93" s="115"/>
      <c r="AH93" s="113"/>
      <c r="AI93" s="114"/>
      <c r="AJ93" s="117"/>
      <c r="AK93" s="118"/>
      <c r="AL93" s="118"/>
      <c r="AM93" s="118"/>
      <c r="AN93" s="119"/>
      <c r="AO93" s="120">
        <f t="shared" si="61"/>
        <v>70680</v>
      </c>
      <c r="AP93" s="121"/>
      <c r="AQ93" s="121">
        <f t="shared" si="62"/>
        <v>0</v>
      </c>
      <c r="AR93" s="121">
        <f t="shared" si="63"/>
        <v>0</v>
      </c>
      <c r="AS93" s="122">
        <v>102859</v>
      </c>
      <c r="AT93" s="123">
        <f t="shared" si="42"/>
        <v>1.4552773061686475</v>
      </c>
      <c r="AU93" s="124">
        <v>1440</v>
      </c>
      <c r="AV93" s="125">
        <v>7080</v>
      </c>
      <c r="AW93" s="112"/>
      <c r="AX93" s="116">
        <v>5000</v>
      </c>
      <c r="AY93" s="116">
        <v>950</v>
      </c>
      <c r="AZ93" s="116"/>
      <c r="BA93" s="126">
        <v>160</v>
      </c>
      <c r="BB93" s="127">
        <f t="shared" si="43"/>
        <v>14630</v>
      </c>
      <c r="BC93" s="128"/>
      <c r="BD93" s="127">
        <f t="shared" si="44"/>
        <v>0</v>
      </c>
      <c r="BE93" s="129"/>
      <c r="BF93" s="130"/>
      <c r="BG93" s="131"/>
      <c r="BH93" s="131">
        <v>675</v>
      </c>
      <c r="BI93" s="132"/>
      <c r="BJ93" s="133">
        <f t="shared" si="45"/>
        <v>675</v>
      </c>
      <c r="BK93" s="129"/>
      <c r="BL93" s="131">
        <v>960</v>
      </c>
      <c r="BM93" s="131">
        <v>2400</v>
      </c>
      <c r="BN93" s="131">
        <v>3000</v>
      </c>
      <c r="BO93" s="131"/>
      <c r="BP93" s="134"/>
      <c r="BQ93" s="132"/>
      <c r="BR93" s="135">
        <f t="shared" si="46"/>
        <v>6360</v>
      </c>
      <c r="BS93" s="124">
        <v>120</v>
      </c>
      <c r="BT93" s="125">
        <v>600</v>
      </c>
      <c r="BU93" s="125"/>
      <c r="BV93" s="244"/>
      <c r="BW93" s="244">
        <v>160</v>
      </c>
      <c r="BX93" s="244">
        <v>440</v>
      </c>
      <c r="BY93" s="245">
        <v>600</v>
      </c>
      <c r="BZ93" s="245">
        <v>80</v>
      </c>
      <c r="CA93" s="112">
        <v>100</v>
      </c>
      <c r="CB93" s="112">
        <v>100</v>
      </c>
      <c r="CC93" s="125"/>
      <c r="CD93" s="112"/>
      <c r="CE93" s="125"/>
      <c r="CF93" s="112"/>
      <c r="CG93" s="112"/>
      <c r="CH93" s="245"/>
      <c r="CI93" s="245"/>
      <c r="CJ93" s="245"/>
      <c r="CK93" s="112">
        <v>720</v>
      </c>
      <c r="CL93" s="126">
        <v>40</v>
      </c>
      <c r="CM93" s="136">
        <f t="shared" si="47"/>
        <v>2960</v>
      </c>
      <c r="CN93" s="137"/>
      <c r="CO93" s="112"/>
      <c r="CP93" s="112"/>
      <c r="CQ93" s="112"/>
      <c r="CR93" s="112"/>
      <c r="CS93" s="112"/>
      <c r="CT93" s="112"/>
      <c r="CU93" s="112"/>
      <c r="CV93" s="112"/>
      <c r="CW93" s="112"/>
      <c r="CX93" s="112"/>
      <c r="CY93" s="112"/>
      <c r="CZ93" s="126"/>
      <c r="DA93" s="135">
        <f t="shared" si="48"/>
        <v>0</v>
      </c>
      <c r="DB93" s="192">
        <f t="shared" si="49"/>
        <v>2760</v>
      </c>
      <c r="DC93" s="115">
        <f t="shared" si="50"/>
        <v>200</v>
      </c>
      <c r="DD93" s="115">
        <f t="shared" si="51"/>
        <v>7035</v>
      </c>
      <c r="DE93" s="115">
        <f t="shared" si="52"/>
        <v>75069</v>
      </c>
      <c r="DF93" s="115">
        <f t="shared" si="53"/>
        <v>0</v>
      </c>
      <c r="DG93" s="115">
        <f t="shared" si="54"/>
        <v>0</v>
      </c>
      <c r="DH93" s="115">
        <f t="shared" si="55"/>
        <v>0</v>
      </c>
      <c r="DI93" s="193">
        <v>0</v>
      </c>
      <c r="DJ93" s="193">
        <v>0</v>
      </c>
      <c r="DK93" s="115">
        <f t="shared" si="56"/>
        <v>0</v>
      </c>
      <c r="DL93" s="194">
        <v>0</v>
      </c>
      <c r="DM93" s="195">
        <f t="shared" si="57"/>
        <v>8.5053606696134681E-2</v>
      </c>
      <c r="DN93" s="143"/>
      <c r="DO93" s="144">
        <f t="shared" si="58"/>
        <v>77829</v>
      </c>
      <c r="DP93" s="145">
        <f t="shared" si="59"/>
        <v>7235</v>
      </c>
    </row>
    <row r="94" spans="1:120">
      <c r="A94" s="146"/>
      <c r="B94" s="318">
        <f t="shared" si="60"/>
        <v>45413</v>
      </c>
      <c r="C94" s="150">
        <v>54990</v>
      </c>
      <c r="D94" s="147">
        <v>2000</v>
      </c>
      <c r="E94" s="148">
        <v>2790</v>
      </c>
      <c r="F94" s="149"/>
      <c r="G94" s="148"/>
      <c r="H94" s="150"/>
      <c r="I94" s="147"/>
      <c r="J94" s="150"/>
      <c r="K94" s="150"/>
      <c r="L94" s="150">
        <v>5400</v>
      </c>
      <c r="M94" s="147">
        <v>360</v>
      </c>
      <c r="N94" s="151"/>
      <c r="O94" s="149">
        <v>3780</v>
      </c>
      <c r="P94" s="152">
        <v>3675</v>
      </c>
      <c r="Q94" s="152"/>
      <c r="R94" s="151"/>
      <c r="S94" s="152"/>
      <c r="T94" s="151"/>
      <c r="U94" s="153"/>
      <c r="V94" s="154"/>
      <c r="W94" s="155"/>
      <c r="X94" s="156"/>
      <c r="Y94" s="152"/>
      <c r="Z94" s="152"/>
      <c r="AA94" s="153"/>
      <c r="AB94" s="154"/>
      <c r="AC94" s="153">
        <v>2520</v>
      </c>
      <c r="AD94" s="154">
        <v>1000</v>
      </c>
      <c r="AE94" s="151"/>
      <c r="AF94" s="151">
        <v>2000</v>
      </c>
      <c r="AG94" s="155"/>
      <c r="AH94" s="153"/>
      <c r="AI94" s="154"/>
      <c r="AJ94" s="157"/>
      <c r="AK94" s="158"/>
      <c r="AL94" s="158"/>
      <c r="AM94" s="158"/>
      <c r="AN94" s="159"/>
      <c r="AO94" s="160">
        <f t="shared" si="61"/>
        <v>78515</v>
      </c>
      <c r="AP94" s="161"/>
      <c r="AQ94" s="161">
        <f t="shared" si="62"/>
        <v>0</v>
      </c>
      <c r="AR94" s="161">
        <f t="shared" si="63"/>
        <v>0</v>
      </c>
      <c r="AS94" s="162">
        <v>93696</v>
      </c>
      <c r="AT94" s="163">
        <f t="shared" si="42"/>
        <v>1.193351588868369</v>
      </c>
      <c r="AU94" s="164"/>
      <c r="AV94" s="165">
        <v>13560</v>
      </c>
      <c r="AW94" s="152"/>
      <c r="AX94" s="156">
        <v>4000</v>
      </c>
      <c r="AY94" s="156">
        <v>150</v>
      </c>
      <c r="AZ94" s="156"/>
      <c r="BA94" s="166">
        <v>320</v>
      </c>
      <c r="BB94" s="167">
        <f t="shared" si="43"/>
        <v>18030</v>
      </c>
      <c r="BC94" s="168"/>
      <c r="BD94" s="167">
        <f t="shared" si="44"/>
        <v>0</v>
      </c>
      <c r="BE94" s="169"/>
      <c r="BF94" s="170">
        <v>1000</v>
      </c>
      <c r="BG94" s="171">
        <v>500</v>
      </c>
      <c r="BH94" s="171">
        <v>1350</v>
      </c>
      <c r="BI94" s="172"/>
      <c r="BJ94" s="173">
        <f t="shared" si="45"/>
        <v>2850</v>
      </c>
      <c r="BK94" s="169"/>
      <c r="BL94" s="171">
        <v>1440</v>
      </c>
      <c r="BM94" s="171">
        <v>1600</v>
      </c>
      <c r="BN94" s="171">
        <v>2000</v>
      </c>
      <c r="BO94" s="171"/>
      <c r="BP94" s="174"/>
      <c r="BQ94" s="172"/>
      <c r="BR94" s="175">
        <f t="shared" si="46"/>
        <v>5040</v>
      </c>
      <c r="BS94" s="164">
        <v>60</v>
      </c>
      <c r="BT94" s="165">
        <v>700</v>
      </c>
      <c r="BU94" s="165"/>
      <c r="BV94" s="246"/>
      <c r="BW94" s="246"/>
      <c r="BX94" s="246">
        <v>340</v>
      </c>
      <c r="BY94" s="247">
        <v>140</v>
      </c>
      <c r="BZ94" s="247"/>
      <c r="CA94" s="152">
        <v>100</v>
      </c>
      <c r="CB94" s="152">
        <v>100</v>
      </c>
      <c r="CC94" s="165"/>
      <c r="CD94" s="152">
        <v>40</v>
      </c>
      <c r="CE94" s="165"/>
      <c r="CF94" s="152"/>
      <c r="CG94" s="152"/>
      <c r="CH94" s="247"/>
      <c r="CI94" s="247"/>
      <c r="CJ94" s="247"/>
      <c r="CK94" s="152">
        <v>260</v>
      </c>
      <c r="CL94" s="166">
        <v>180</v>
      </c>
      <c r="CM94" s="176">
        <f t="shared" si="47"/>
        <v>1920</v>
      </c>
      <c r="CN94" s="177"/>
      <c r="CO94" s="152"/>
      <c r="CP94" s="152">
        <v>50</v>
      </c>
      <c r="CQ94" s="152"/>
      <c r="CR94" s="152">
        <v>50</v>
      </c>
      <c r="CS94" s="152">
        <v>50</v>
      </c>
      <c r="CT94" s="152">
        <v>50</v>
      </c>
      <c r="CU94" s="152"/>
      <c r="CV94" s="152"/>
      <c r="CW94" s="152"/>
      <c r="CX94" s="152"/>
      <c r="CY94" s="152"/>
      <c r="CZ94" s="166"/>
      <c r="DA94" s="175">
        <f t="shared" si="48"/>
        <v>200</v>
      </c>
      <c r="DB94" s="186">
        <f t="shared" si="49"/>
        <v>1720</v>
      </c>
      <c r="DC94" s="187">
        <f t="shared" si="50"/>
        <v>200</v>
      </c>
      <c r="DD94" s="187">
        <f t="shared" si="51"/>
        <v>7890</v>
      </c>
      <c r="DE94" s="187">
        <f t="shared" si="52"/>
        <v>83924</v>
      </c>
      <c r="DF94" s="187">
        <f t="shared" si="53"/>
        <v>0</v>
      </c>
      <c r="DG94" s="187">
        <f t="shared" si="54"/>
        <v>0</v>
      </c>
      <c r="DH94" s="187">
        <f t="shared" si="55"/>
        <v>200</v>
      </c>
      <c r="DI94" s="188">
        <v>0</v>
      </c>
      <c r="DJ94" s="188">
        <v>0</v>
      </c>
      <c r="DK94" s="187">
        <f t="shared" si="56"/>
        <v>0</v>
      </c>
      <c r="DL94" s="189">
        <v>0</v>
      </c>
      <c r="DM94" s="190">
        <f t="shared" si="57"/>
        <v>8.6124300040453933E-2</v>
      </c>
      <c r="DN94" s="182"/>
      <c r="DO94" s="183">
        <f t="shared" si="58"/>
        <v>85844</v>
      </c>
      <c r="DP94" s="184">
        <f t="shared" si="59"/>
        <v>8090</v>
      </c>
    </row>
    <row r="95" spans="1:120">
      <c r="A95" s="146"/>
      <c r="B95" s="318">
        <f t="shared" si="60"/>
        <v>45444</v>
      </c>
      <c r="C95" s="150">
        <v>35910</v>
      </c>
      <c r="D95" s="147">
        <v>1500</v>
      </c>
      <c r="E95" s="148">
        <v>2520</v>
      </c>
      <c r="F95" s="149"/>
      <c r="G95" s="148"/>
      <c r="H95" s="150"/>
      <c r="I95" s="147"/>
      <c r="J95" s="150"/>
      <c r="K95" s="150"/>
      <c r="L95" s="150">
        <v>4800</v>
      </c>
      <c r="M95" s="147">
        <v>945</v>
      </c>
      <c r="N95" s="151">
        <v>375</v>
      </c>
      <c r="O95" s="149">
        <v>7200</v>
      </c>
      <c r="P95" s="152">
        <v>4750</v>
      </c>
      <c r="Q95" s="152"/>
      <c r="R95" s="151"/>
      <c r="S95" s="152"/>
      <c r="T95" s="151">
        <v>480</v>
      </c>
      <c r="U95" s="153"/>
      <c r="V95" s="154"/>
      <c r="W95" s="155"/>
      <c r="X95" s="156"/>
      <c r="Y95" s="152">
        <v>225</v>
      </c>
      <c r="Z95" s="152"/>
      <c r="AA95" s="153"/>
      <c r="AB95" s="154"/>
      <c r="AC95" s="153">
        <v>3780</v>
      </c>
      <c r="AD95" s="154">
        <v>2000</v>
      </c>
      <c r="AE95" s="151"/>
      <c r="AF95" s="151">
        <v>4000</v>
      </c>
      <c r="AG95" s="155"/>
      <c r="AH95" s="153"/>
      <c r="AI95" s="154"/>
      <c r="AJ95" s="157"/>
      <c r="AK95" s="158"/>
      <c r="AL95" s="158"/>
      <c r="AM95" s="158"/>
      <c r="AN95" s="159"/>
      <c r="AO95" s="160">
        <f t="shared" si="61"/>
        <v>68110</v>
      </c>
      <c r="AP95" s="161"/>
      <c r="AQ95" s="161">
        <f t="shared" si="62"/>
        <v>0</v>
      </c>
      <c r="AR95" s="161">
        <f t="shared" si="63"/>
        <v>375</v>
      </c>
      <c r="AS95" s="162">
        <v>96402</v>
      </c>
      <c r="AT95" s="163">
        <f t="shared" si="42"/>
        <v>1.4076367087683435</v>
      </c>
      <c r="AU95" s="164">
        <v>1440</v>
      </c>
      <c r="AV95" s="165">
        <v>7920</v>
      </c>
      <c r="AW95" s="152"/>
      <c r="AX95" s="156">
        <v>3400</v>
      </c>
      <c r="AY95" s="156">
        <v>600</v>
      </c>
      <c r="AZ95" s="156">
        <v>160</v>
      </c>
      <c r="BA95" s="166">
        <v>680</v>
      </c>
      <c r="BB95" s="167">
        <f t="shared" si="43"/>
        <v>14200</v>
      </c>
      <c r="BC95" s="168"/>
      <c r="BD95" s="167">
        <f t="shared" si="44"/>
        <v>0</v>
      </c>
      <c r="BE95" s="169"/>
      <c r="BF95" s="170">
        <v>1000</v>
      </c>
      <c r="BG95" s="171">
        <v>1000</v>
      </c>
      <c r="BH95" s="171">
        <v>600</v>
      </c>
      <c r="BI95" s="172"/>
      <c r="BJ95" s="173">
        <f t="shared" si="45"/>
        <v>2600</v>
      </c>
      <c r="BK95" s="169"/>
      <c r="BL95" s="171">
        <v>1600</v>
      </c>
      <c r="BM95" s="171">
        <v>4000</v>
      </c>
      <c r="BN95" s="171">
        <v>4000</v>
      </c>
      <c r="BO95" s="171"/>
      <c r="BP95" s="174"/>
      <c r="BQ95" s="172"/>
      <c r="BR95" s="175">
        <f t="shared" si="46"/>
        <v>9600</v>
      </c>
      <c r="BS95" s="164"/>
      <c r="BT95" s="165">
        <v>300</v>
      </c>
      <c r="BU95" s="165"/>
      <c r="BV95" s="246"/>
      <c r="BW95" s="246"/>
      <c r="BX95" s="246">
        <v>480</v>
      </c>
      <c r="BY95" s="247">
        <v>220</v>
      </c>
      <c r="BZ95" s="247"/>
      <c r="CA95" s="152">
        <v>100</v>
      </c>
      <c r="CB95" s="152">
        <v>100</v>
      </c>
      <c r="CC95" s="165">
        <v>20</v>
      </c>
      <c r="CD95" s="152">
        <v>50</v>
      </c>
      <c r="CE95" s="165"/>
      <c r="CF95" s="152"/>
      <c r="CG95" s="152"/>
      <c r="CH95" s="247"/>
      <c r="CI95" s="247"/>
      <c r="CJ95" s="247"/>
      <c r="CK95" s="152">
        <v>280</v>
      </c>
      <c r="CL95" s="166"/>
      <c r="CM95" s="176">
        <f t="shared" si="47"/>
        <v>1550</v>
      </c>
      <c r="CN95" s="177"/>
      <c r="CO95" s="152"/>
      <c r="CP95" s="152">
        <v>15</v>
      </c>
      <c r="CQ95" s="152"/>
      <c r="CR95" s="152">
        <v>10</v>
      </c>
      <c r="CS95" s="152"/>
      <c r="CT95" s="152">
        <v>5</v>
      </c>
      <c r="CU95" s="152"/>
      <c r="CV95" s="152"/>
      <c r="CW95" s="152"/>
      <c r="CX95" s="152">
        <v>20</v>
      </c>
      <c r="CY95" s="152">
        <v>5</v>
      </c>
      <c r="CZ95" s="166"/>
      <c r="DA95" s="175">
        <f t="shared" si="48"/>
        <v>55</v>
      </c>
      <c r="DB95" s="178">
        <f t="shared" si="49"/>
        <v>1350</v>
      </c>
      <c r="DC95" s="155">
        <f t="shared" si="50"/>
        <v>200</v>
      </c>
      <c r="DD95" s="155">
        <f t="shared" si="51"/>
        <v>12200</v>
      </c>
      <c r="DE95" s="155">
        <f t="shared" si="52"/>
        <v>72370</v>
      </c>
      <c r="DF95" s="155">
        <f t="shared" si="53"/>
        <v>0</v>
      </c>
      <c r="DG95" s="155">
        <f t="shared" si="54"/>
        <v>375</v>
      </c>
      <c r="DH95" s="155">
        <f t="shared" si="55"/>
        <v>55</v>
      </c>
      <c r="DI95" s="179">
        <v>0</v>
      </c>
      <c r="DJ95" s="179">
        <v>0</v>
      </c>
      <c r="DK95" s="155">
        <f t="shared" si="56"/>
        <v>0</v>
      </c>
      <c r="DL95" s="180">
        <v>0</v>
      </c>
      <c r="DM95" s="181">
        <f t="shared" si="57"/>
        <v>0.14760254188330446</v>
      </c>
      <c r="DN95" s="182"/>
      <c r="DO95" s="183">
        <f t="shared" si="58"/>
        <v>73775</v>
      </c>
      <c r="DP95" s="184">
        <f t="shared" si="59"/>
        <v>12775</v>
      </c>
    </row>
    <row r="96" spans="1:120">
      <c r="A96" s="196"/>
      <c r="B96" s="326">
        <f t="shared" si="60"/>
        <v>45474</v>
      </c>
      <c r="C96" s="150">
        <v>38610</v>
      </c>
      <c r="D96" s="147">
        <v>2000</v>
      </c>
      <c r="E96" s="148">
        <v>3240</v>
      </c>
      <c r="F96" s="149"/>
      <c r="G96" s="148"/>
      <c r="H96" s="150"/>
      <c r="I96" s="147">
        <v>60</v>
      </c>
      <c r="J96" s="150"/>
      <c r="K96" s="150"/>
      <c r="L96" s="150">
        <v>5400</v>
      </c>
      <c r="M96" s="147">
        <v>180</v>
      </c>
      <c r="N96" s="151">
        <v>360</v>
      </c>
      <c r="O96" s="149">
        <v>5040</v>
      </c>
      <c r="P96" s="152">
        <v>7675</v>
      </c>
      <c r="Q96" s="152"/>
      <c r="R96" s="151"/>
      <c r="S96" s="152">
        <v>30</v>
      </c>
      <c r="T96" s="151"/>
      <c r="U96" s="153"/>
      <c r="V96" s="154"/>
      <c r="W96" s="155"/>
      <c r="X96" s="156"/>
      <c r="Y96" s="152"/>
      <c r="Z96" s="152"/>
      <c r="AA96" s="153"/>
      <c r="AB96" s="154"/>
      <c r="AC96" s="153">
        <v>5040</v>
      </c>
      <c r="AD96" s="154">
        <v>1000</v>
      </c>
      <c r="AE96" s="151"/>
      <c r="AF96" s="151">
        <v>2000</v>
      </c>
      <c r="AG96" s="155"/>
      <c r="AH96" s="153"/>
      <c r="AI96" s="154"/>
      <c r="AJ96" s="157"/>
      <c r="AK96" s="158"/>
      <c r="AL96" s="158"/>
      <c r="AM96" s="158"/>
      <c r="AN96" s="159"/>
      <c r="AO96" s="160">
        <f t="shared" si="61"/>
        <v>70275</v>
      </c>
      <c r="AP96" s="161"/>
      <c r="AQ96" s="161">
        <f t="shared" si="62"/>
        <v>0</v>
      </c>
      <c r="AR96" s="161">
        <f t="shared" si="63"/>
        <v>360</v>
      </c>
      <c r="AS96" s="162">
        <v>102760</v>
      </c>
      <c r="AT96" s="163">
        <f t="shared" si="42"/>
        <v>1.4548028597720677</v>
      </c>
      <c r="AU96" s="164">
        <v>2520</v>
      </c>
      <c r="AV96" s="165">
        <v>3960</v>
      </c>
      <c r="AW96" s="152">
        <v>150</v>
      </c>
      <c r="AX96" s="156">
        <v>5850</v>
      </c>
      <c r="AY96" s="156">
        <v>750</v>
      </c>
      <c r="AZ96" s="156"/>
      <c r="BA96" s="166"/>
      <c r="BB96" s="167">
        <f t="shared" si="43"/>
        <v>13230</v>
      </c>
      <c r="BC96" s="168"/>
      <c r="BD96" s="167">
        <f t="shared" si="44"/>
        <v>0</v>
      </c>
      <c r="BE96" s="169"/>
      <c r="BF96" s="170"/>
      <c r="BG96" s="171">
        <v>1000</v>
      </c>
      <c r="BH96" s="171">
        <v>1000</v>
      </c>
      <c r="BI96" s="172"/>
      <c r="BJ96" s="173">
        <f t="shared" si="45"/>
        <v>2000</v>
      </c>
      <c r="BK96" s="169"/>
      <c r="BL96" s="171">
        <v>1600</v>
      </c>
      <c r="BM96" s="171">
        <v>4800</v>
      </c>
      <c r="BN96" s="171">
        <v>5000</v>
      </c>
      <c r="BO96" s="171"/>
      <c r="BP96" s="174"/>
      <c r="BQ96" s="172"/>
      <c r="BR96" s="175">
        <f t="shared" si="46"/>
        <v>11400</v>
      </c>
      <c r="BS96" s="164">
        <v>60</v>
      </c>
      <c r="BT96" s="165"/>
      <c r="BU96" s="165"/>
      <c r="BV96" s="246">
        <v>40</v>
      </c>
      <c r="BW96" s="246"/>
      <c r="BX96" s="246">
        <v>660</v>
      </c>
      <c r="BY96" s="247">
        <v>320</v>
      </c>
      <c r="BZ96" s="247"/>
      <c r="CA96" s="152">
        <v>100</v>
      </c>
      <c r="CB96" s="152">
        <v>100</v>
      </c>
      <c r="CC96" s="165"/>
      <c r="CD96" s="152">
        <v>50</v>
      </c>
      <c r="CE96" s="165"/>
      <c r="CF96" s="152"/>
      <c r="CG96" s="152"/>
      <c r="CH96" s="247"/>
      <c r="CI96" s="247"/>
      <c r="CJ96" s="247"/>
      <c r="CK96" s="152">
        <v>620</v>
      </c>
      <c r="CL96" s="166">
        <v>60</v>
      </c>
      <c r="CM96" s="176">
        <f t="shared" si="47"/>
        <v>2010</v>
      </c>
      <c r="CN96" s="177"/>
      <c r="CO96" s="152"/>
      <c r="CP96" s="152"/>
      <c r="CQ96" s="152"/>
      <c r="CR96" s="152">
        <v>65</v>
      </c>
      <c r="CS96" s="152">
        <v>65</v>
      </c>
      <c r="CT96" s="152">
        <v>115</v>
      </c>
      <c r="CU96" s="152">
        <v>15</v>
      </c>
      <c r="CV96" s="152">
        <v>10</v>
      </c>
      <c r="CW96" s="152">
        <v>10</v>
      </c>
      <c r="CX96" s="152"/>
      <c r="CY96" s="152"/>
      <c r="CZ96" s="166"/>
      <c r="DA96" s="175">
        <f t="shared" si="48"/>
        <v>280</v>
      </c>
      <c r="DB96" s="186">
        <f t="shared" si="49"/>
        <v>1810</v>
      </c>
      <c r="DC96" s="187">
        <f t="shared" si="50"/>
        <v>200</v>
      </c>
      <c r="DD96" s="187">
        <f t="shared" si="51"/>
        <v>13400</v>
      </c>
      <c r="DE96" s="187">
        <f t="shared" si="52"/>
        <v>74244</v>
      </c>
      <c r="DF96" s="187">
        <f t="shared" si="53"/>
        <v>0</v>
      </c>
      <c r="DG96" s="187">
        <f t="shared" si="54"/>
        <v>360</v>
      </c>
      <c r="DH96" s="187">
        <f t="shared" si="55"/>
        <v>280</v>
      </c>
      <c r="DI96" s="188">
        <v>0</v>
      </c>
      <c r="DJ96" s="188">
        <v>0</v>
      </c>
      <c r="DK96" s="187">
        <f t="shared" si="56"/>
        <v>0</v>
      </c>
      <c r="DL96" s="189">
        <v>0</v>
      </c>
      <c r="DM96" s="190">
        <f t="shared" si="57"/>
        <v>0.15460606463330898</v>
      </c>
      <c r="DN96" s="182"/>
      <c r="DO96" s="183">
        <f t="shared" si="58"/>
        <v>76334</v>
      </c>
      <c r="DP96" s="184">
        <f t="shared" si="59"/>
        <v>13960</v>
      </c>
    </row>
    <row r="97" spans="1:120">
      <c r="A97" s="146"/>
      <c r="B97" s="318">
        <f t="shared" si="60"/>
        <v>45505</v>
      </c>
      <c r="C97" s="150">
        <v>33645</v>
      </c>
      <c r="D97" s="147"/>
      <c r="E97" s="148">
        <v>1800</v>
      </c>
      <c r="F97" s="149"/>
      <c r="G97" s="148"/>
      <c r="H97" s="150"/>
      <c r="I97" s="147"/>
      <c r="J97" s="150"/>
      <c r="K97" s="150"/>
      <c r="L97" s="150">
        <v>4650</v>
      </c>
      <c r="M97" s="147">
        <v>900</v>
      </c>
      <c r="N97" s="151">
        <v>180</v>
      </c>
      <c r="O97" s="149">
        <v>7020</v>
      </c>
      <c r="P97" s="152">
        <v>5275</v>
      </c>
      <c r="Q97" s="152"/>
      <c r="R97" s="151"/>
      <c r="S97" s="152"/>
      <c r="T97" s="151"/>
      <c r="U97" s="153"/>
      <c r="V97" s="154"/>
      <c r="W97" s="155"/>
      <c r="X97" s="156"/>
      <c r="Y97" s="152">
        <v>162.5</v>
      </c>
      <c r="Z97" s="152"/>
      <c r="AA97" s="153"/>
      <c r="AB97" s="154"/>
      <c r="AC97" s="153">
        <v>3780</v>
      </c>
      <c r="AD97" s="154">
        <v>1500</v>
      </c>
      <c r="AE97" s="151"/>
      <c r="AF97" s="151">
        <v>4000</v>
      </c>
      <c r="AG97" s="155"/>
      <c r="AH97" s="153"/>
      <c r="AI97" s="154"/>
      <c r="AJ97" s="157"/>
      <c r="AK97" s="158"/>
      <c r="AL97" s="158"/>
      <c r="AM97" s="158"/>
      <c r="AN97" s="159"/>
      <c r="AO97" s="160">
        <f t="shared" si="61"/>
        <v>62732.5</v>
      </c>
      <c r="AP97" s="161"/>
      <c r="AQ97" s="161">
        <f t="shared" si="62"/>
        <v>0</v>
      </c>
      <c r="AR97" s="161">
        <f t="shared" si="63"/>
        <v>180</v>
      </c>
      <c r="AS97" s="162">
        <v>74658</v>
      </c>
      <c r="AT97" s="163">
        <f t="shared" si="42"/>
        <v>1.1866958076693821</v>
      </c>
      <c r="AU97" s="164">
        <v>480</v>
      </c>
      <c r="AV97" s="165">
        <v>8280</v>
      </c>
      <c r="AW97" s="152">
        <v>150</v>
      </c>
      <c r="AX97" s="156">
        <v>750</v>
      </c>
      <c r="AY97" s="156">
        <v>250</v>
      </c>
      <c r="AZ97" s="156"/>
      <c r="BA97" s="166"/>
      <c r="BB97" s="167">
        <f t="shared" si="43"/>
        <v>9910</v>
      </c>
      <c r="BC97" s="168"/>
      <c r="BD97" s="167">
        <f t="shared" si="44"/>
        <v>0</v>
      </c>
      <c r="BE97" s="169"/>
      <c r="BF97" s="170">
        <v>2000</v>
      </c>
      <c r="BG97" s="171">
        <v>2000</v>
      </c>
      <c r="BH97" s="171">
        <v>1550</v>
      </c>
      <c r="BI97" s="172"/>
      <c r="BJ97" s="173">
        <f t="shared" si="45"/>
        <v>5550</v>
      </c>
      <c r="BK97" s="169"/>
      <c r="BL97" s="171">
        <v>800</v>
      </c>
      <c r="BM97" s="171">
        <v>3200</v>
      </c>
      <c r="BN97" s="171">
        <v>4000</v>
      </c>
      <c r="BO97" s="171"/>
      <c r="BP97" s="174"/>
      <c r="BQ97" s="172"/>
      <c r="BR97" s="175">
        <f t="shared" si="46"/>
        <v>8000</v>
      </c>
      <c r="BS97" s="164"/>
      <c r="BT97" s="165">
        <v>200</v>
      </c>
      <c r="BU97" s="165"/>
      <c r="BV97" s="246"/>
      <c r="BW97" s="246">
        <v>60</v>
      </c>
      <c r="BX97" s="246">
        <v>340</v>
      </c>
      <c r="BY97" s="247">
        <v>480</v>
      </c>
      <c r="BZ97" s="247"/>
      <c r="CA97" s="152">
        <v>100</v>
      </c>
      <c r="CB97" s="152">
        <v>100</v>
      </c>
      <c r="CC97" s="165"/>
      <c r="CD97" s="152"/>
      <c r="CE97" s="165"/>
      <c r="CF97" s="152"/>
      <c r="CG97" s="152"/>
      <c r="CH97" s="247"/>
      <c r="CI97" s="247"/>
      <c r="CJ97" s="247"/>
      <c r="CK97" s="152">
        <v>560</v>
      </c>
      <c r="CL97" s="166">
        <v>100</v>
      </c>
      <c r="CM97" s="176">
        <f t="shared" si="47"/>
        <v>1940</v>
      </c>
      <c r="CN97" s="177"/>
      <c r="CO97" s="152"/>
      <c r="CP97" s="152">
        <v>100</v>
      </c>
      <c r="CQ97" s="152"/>
      <c r="CR97" s="152"/>
      <c r="CS97" s="152"/>
      <c r="CT97" s="152"/>
      <c r="CU97" s="152"/>
      <c r="CV97" s="152"/>
      <c r="CW97" s="152"/>
      <c r="CX97" s="152"/>
      <c r="CY97" s="152"/>
      <c r="CZ97" s="166"/>
      <c r="DA97" s="175">
        <f t="shared" si="48"/>
        <v>100</v>
      </c>
      <c r="DB97" s="178">
        <f t="shared" si="49"/>
        <v>1740</v>
      </c>
      <c r="DC97" s="155">
        <f t="shared" si="50"/>
        <v>200</v>
      </c>
      <c r="DD97" s="155">
        <f t="shared" si="51"/>
        <v>13550</v>
      </c>
      <c r="DE97" s="155">
        <f t="shared" si="52"/>
        <v>65705.5</v>
      </c>
      <c r="DF97" s="155">
        <f t="shared" si="53"/>
        <v>0</v>
      </c>
      <c r="DG97" s="155">
        <f t="shared" si="54"/>
        <v>180</v>
      </c>
      <c r="DH97" s="155">
        <f t="shared" si="55"/>
        <v>100</v>
      </c>
      <c r="DI97" s="179">
        <v>0</v>
      </c>
      <c r="DJ97" s="179">
        <v>0</v>
      </c>
      <c r="DK97" s="155">
        <f t="shared" si="56"/>
        <v>0</v>
      </c>
      <c r="DL97" s="180">
        <v>0</v>
      </c>
      <c r="DM97" s="181">
        <f t="shared" si="57"/>
        <v>0.17097164178188534</v>
      </c>
      <c r="DN97" s="182"/>
      <c r="DO97" s="183">
        <f t="shared" si="58"/>
        <v>67545.5</v>
      </c>
      <c r="DP97" s="184">
        <f t="shared" si="59"/>
        <v>13930</v>
      </c>
    </row>
    <row r="98" spans="1:120">
      <c r="A98" s="146"/>
      <c r="B98" s="318">
        <f t="shared" si="60"/>
        <v>45536</v>
      </c>
      <c r="C98" s="150">
        <v>32430</v>
      </c>
      <c r="D98" s="147">
        <v>3000</v>
      </c>
      <c r="E98" s="148">
        <v>1260</v>
      </c>
      <c r="F98" s="149"/>
      <c r="G98" s="148"/>
      <c r="H98" s="150"/>
      <c r="I98" s="147"/>
      <c r="J98" s="150"/>
      <c r="K98" s="150"/>
      <c r="L98" s="150">
        <v>5850</v>
      </c>
      <c r="M98" s="147">
        <v>1440</v>
      </c>
      <c r="N98" s="151">
        <v>540</v>
      </c>
      <c r="O98" s="149">
        <v>8100</v>
      </c>
      <c r="P98" s="152">
        <v>3450</v>
      </c>
      <c r="Q98" s="152"/>
      <c r="R98" s="151"/>
      <c r="S98" s="152"/>
      <c r="T98" s="151"/>
      <c r="U98" s="153"/>
      <c r="V98" s="154"/>
      <c r="W98" s="155"/>
      <c r="X98" s="156"/>
      <c r="Y98" s="152">
        <v>125</v>
      </c>
      <c r="Z98" s="152"/>
      <c r="AA98" s="153"/>
      <c r="AB98" s="154"/>
      <c r="AC98" s="153">
        <v>5040</v>
      </c>
      <c r="AD98" s="154">
        <v>1500</v>
      </c>
      <c r="AE98" s="151"/>
      <c r="AF98" s="151">
        <v>6000</v>
      </c>
      <c r="AG98" s="155"/>
      <c r="AH98" s="153"/>
      <c r="AI98" s="154">
        <v>1000</v>
      </c>
      <c r="AJ98" s="157"/>
      <c r="AK98" s="158"/>
      <c r="AL98" s="158"/>
      <c r="AM98" s="158"/>
      <c r="AN98" s="159"/>
      <c r="AO98" s="160">
        <f t="shared" si="61"/>
        <v>69195</v>
      </c>
      <c r="AP98" s="161"/>
      <c r="AQ98" s="161">
        <f t="shared" si="62"/>
        <v>0</v>
      </c>
      <c r="AR98" s="161">
        <f t="shared" si="63"/>
        <v>540</v>
      </c>
      <c r="AS98" s="162">
        <v>111677</v>
      </c>
      <c r="AT98" s="163">
        <f t="shared" si="42"/>
        <v>1.6014483401448341</v>
      </c>
      <c r="AU98" s="164">
        <v>1800</v>
      </c>
      <c r="AV98" s="165">
        <v>7440</v>
      </c>
      <c r="AW98" s="152">
        <v>180</v>
      </c>
      <c r="AX98" s="156">
        <v>6050</v>
      </c>
      <c r="AY98" s="156">
        <v>1150</v>
      </c>
      <c r="AZ98" s="156"/>
      <c r="BA98" s="166">
        <v>400</v>
      </c>
      <c r="BB98" s="167">
        <f t="shared" si="43"/>
        <v>17020</v>
      </c>
      <c r="BC98" s="168">
        <v>336</v>
      </c>
      <c r="BD98" s="167">
        <f t="shared" si="44"/>
        <v>336</v>
      </c>
      <c r="BE98" s="169"/>
      <c r="BF98" s="170">
        <v>1000</v>
      </c>
      <c r="BG98" s="171">
        <v>1000</v>
      </c>
      <c r="BH98" s="171">
        <v>375</v>
      </c>
      <c r="BI98" s="172"/>
      <c r="BJ98" s="173">
        <f t="shared" si="45"/>
        <v>2375</v>
      </c>
      <c r="BK98" s="169"/>
      <c r="BL98" s="171">
        <v>1600</v>
      </c>
      <c r="BM98" s="171">
        <v>5600</v>
      </c>
      <c r="BN98" s="171">
        <v>5000</v>
      </c>
      <c r="BO98" s="171"/>
      <c r="BP98" s="174"/>
      <c r="BQ98" s="172"/>
      <c r="BR98" s="175">
        <f t="shared" si="46"/>
        <v>12200</v>
      </c>
      <c r="BS98" s="164">
        <v>160</v>
      </c>
      <c r="BT98" s="165">
        <v>200</v>
      </c>
      <c r="BU98" s="165"/>
      <c r="BV98" s="246"/>
      <c r="BW98" s="246">
        <v>20</v>
      </c>
      <c r="BX98" s="246">
        <v>200</v>
      </c>
      <c r="BY98" s="247">
        <v>160</v>
      </c>
      <c r="BZ98" s="247">
        <v>20</v>
      </c>
      <c r="CA98" s="152">
        <v>100</v>
      </c>
      <c r="CB98" s="152">
        <v>100</v>
      </c>
      <c r="CC98" s="165"/>
      <c r="CD98" s="152"/>
      <c r="CE98" s="165"/>
      <c r="CF98" s="152"/>
      <c r="CG98" s="152"/>
      <c r="CH98" s="247">
        <v>80</v>
      </c>
      <c r="CI98" s="247"/>
      <c r="CJ98" s="247"/>
      <c r="CK98" s="152">
        <v>820</v>
      </c>
      <c r="CL98" s="166">
        <v>100</v>
      </c>
      <c r="CM98" s="176">
        <f t="shared" si="47"/>
        <v>1960</v>
      </c>
      <c r="CN98" s="177"/>
      <c r="CO98" s="152"/>
      <c r="CP98" s="152"/>
      <c r="CQ98" s="152"/>
      <c r="CR98" s="152"/>
      <c r="CS98" s="152"/>
      <c r="CT98" s="152"/>
      <c r="CU98" s="152"/>
      <c r="CV98" s="152"/>
      <c r="CW98" s="152"/>
      <c r="CX98" s="152">
        <v>15</v>
      </c>
      <c r="CY98" s="152">
        <v>15</v>
      </c>
      <c r="CZ98" s="166"/>
      <c r="DA98" s="175">
        <f t="shared" si="48"/>
        <v>30</v>
      </c>
      <c r="DB98" s="186">
        <f t="shared" si="49"/>
        <v>1760</v>
      </c>
      <c r="DC98" s="187">
        <f t="shared" si="50"/>
        <v>200</v>
      </c>
      <c r="DD98" s="187">
        <f t="shared" si="51"/>
        <v>14575</v>
      </c>
      <c r="DE98" s="187">
        <f t="shared" si="52"/>
        <v>74301</v>
      </c>
      <c r="DF98" s="187">
        <f t="shared" si="53"/>
        <v>0</v>
      </c>
      <c r="DG98" s="187">
        <f t="shared" si="54"/>
        <v>540</v>
      </c>
      <c r="DH98" s="187">
        <f t="shared" si="55"/>
        <v>30</v>
      </c>
      <c r="DI98" s="188">
        <v>0</v>
      </c>
      <c r="DJ98" s="188">
        <v>0</v>
      </c>
      <c r="DK98" s="187">
        <f t="shared" si="56"/>
        <v>100.8</v>
      </c>
      <c r="DL98" s="189">
        <v>0</v>
      </c>
      <c r="DM98" s="190">
        <f t="shared" si="57"/>
        <v>0.16846616863446212</v>
      </c>
      <c r="DN98" s="182"/>
      <c r="DO98" s="183">
        <f t="shared" si="58"/>
        <v>76091</v>
      </c>
      <c r="DP98" s="184">
        <f t="shared" si="59"/>
        <v>15415.8</v>
      </c>
    </row>
    <row r="99" spans="1:120">
      <c r="A99" s="146"/>
      <c r="B99" s="318">
        <f t="shared" si="60"/>
        <v>45566</v>
      </c>
      <c r="C99" s="150">
        <v>56970</v>
      </c>
      <c r="D99" s="147">
        <v>1500</v>
      </c>
      <c r="E99" s="148"/>
      <c r="F99" s="149"/>
      <c r="G99" s="148"/>
      <c r="H99" s="150"/>
      <c r="I99" s="147"/>
      <c r="J99" s="150"/>
      <c r="K99" s="150"/>
      <c r="L99" s="150">
        <v>10050</v>
      </c>
      <c r="M99" s="147"/>
      <c r="N99" s="151">
        <v>180</v>
      </c>
      <c r="O99" s="149">
        <v>11340</v>
      </c>
      <c r="P99" s="152">
        <v>5500</v>
      </c>
      <c r="Q99" s="152"/>
      <c r="R99" s="151"/>
      <c r="S99" s="152">
        <v>20</v>
      </c>
      <c r="T99" s="151">
        <v>100</v>
      </c>
      <c r="U99" s="153"/>
      <c r="V99" s="154"/>
      <c r="W99" s="155"/>
      <c r="X99" s="156"/>
      <c r="Y99" s="152"/>
      <c r="Z99" s="152"/>
      <c r="AA99" s="153"/>
      <c r="AB99" s="154"/>
      <c r="AC99" s="153">
        <v>7560</v>
      </c>
      <c r="AD99" s="154">
        <v>500</v>
      </c>
      <c r="AE99" s="151"/>
      <c r="AF99" s="151">
        <v>4000</v>
      </c>
      <c r="AG99" s="155"/>
      <c r="AH99" s="153"/>
      <c r="AI99" s="154"/>
      <c r="AJ99" s="157"/>
      <c r="AK99" s="158">
        <v>1000</v>
      </c>
      <c r="AL99" s="158"/>
      <c r="AM99" s="158"/>
      <c r="AN99" s="159"/>
      <c r="AO99" s="160">
        <f t="shared" si="61"/>
        <v>98540</v>
      </c>
      <c r="AP99" s="161"/>
      <c r="AQ99" s="161">
        <f t="shared" si="62"/>
        <v>0</v>
      </c>
      <c r="AR99" s="161">
        <f t="shared" si="63"/>
        <v>180</v>
      </c>
      <c r="AS99" s="162">
        <v>123858</v>
      </c>
      <c r="AT99" s="163">
        <f t="shared" si="42"/>
        <v>1.2546393841166936</v>
      </c>
      <c r="AU99" s="164">
        <v>3300</v>
      </c>
      <c r="AV99" s="165">
        <v>8640</v>
      </c>
      <c r="AW99" s="152">
        <v>120</v>
      </c>
      <c r="AX99" s="156">
        <v>5500</v>
      </c>
      <c r="AY99" s="156">
        <v>600</v>
      </c>
      <c r="AZ99" s="156">
        <v>100</v>
      </c>
      <c r="BA99" s="166">
        <v>200</v>
      </c>
      <c r="BB99" s="167">
        <f t="shared" si="43"/>
        <v>18460</v>
      </c>
      <c r="BC99" s="168"/>
      <c r="BD99" s="167">
        <f t="shared" si="44"/>
        <v>0</v>
      </c>
      <c r="BE99" s="169"/>
      <c r="BF99" s="170">
        <v>3000</v>
      </c>
      <c r="BG99" s="171">
        <v>1000</v>
      </c>
      <c r="BH99" s="171">
        <v>1875</v>
      </c>
      <c r="BI99" s="172"/>
      <c r="BJ99" s="173">
        <f t="shared" si="45"/>
        <v>5875</v>
      </c>
      <c r="BK99" s="169"/>
      <c r="BL99" s="171">
        <v>800</v>
      </c>
      <c r="BM99" s="171">
        <v>5600</v>
      </c>
      <c r="BN99" s="171">
        <v>5000</v>
      </c>
      <c r="BO99" s="171"/>
      <c r="BP99" s="174"/>
      <c r="BQ99" s="172"/>
      <c r="BR99" s="175">
        <f t="shared" si="46"/>
        <v>11400</v>
      </c>
      <c r="BS99" s="164">
        <v>60</v>
      </c>
      <c r="BT99" s="165">
        <v>120</v>
      </c>
      <c r="BU99" s="165"/>
      <c r="BV99" s="246"/>
      <c r="BW99" s="246">
        <v>40</v>
      </c>
      <c r="BX99" s="246"/>
      <c r="BY99" s="247">
        <v>260</v>
      </c>
      <c r="BZ99" s="247">
        <v>40</v>
      </c>
      <c r="CA99" s="152">
        <v>100</v>
      </c>
      <c r="CB99" s="152">
        <v>100</v>
      </c>
      <c r="CC99" s="165">
        <v>30</v>
      </c>
      <c r="CD99" s="152"/>
      <c r="CE99" s="165"/>
      <c r="CF99" s="152"/>
      <c r="CG99" s="152"/>
      <c r="CH99" s="247"/>
      <c r="CI99" s="247"/>
      <c r="CJ99" s="247"/>
      <c r="CK99" s="152">
        <v>240</v>
      </c>
      <c r="CL99" s="166"/>
      <c r="CM99" s="176">
        <f t="shared" si="47"/>
        <v>990</v>
      </c>
      <c r="CN99" s="177"/>
      <c r="CO99" s="152"/>
      <c r="CP99" s="152"/>
      <c r="CQ99" s="152"/>
      <c r="CR99" s="152"/>
      <c r="CS99" s="152"/>
      <c r="CT99" s="152">
        <v>10</v>
      </c>
      <c r="CU99" s="152"/>
      <c r="CV99" s="152">
        <v>10</v>
      </c>
      <c r="CW99" s="152"/>
      <c r="CX99" s="152">
        <v>5</v>
      </c>
      <c r="CY99" s="152">
        <v>5</v>
      </c>
      <c r="CZ99" s="166"/>
      <c r="DA99" s="175">
        <f t="shared" si="48"/>
        <v>30</v>
      </c>
      <c r="DB99" s="178">
        <f t="shared" si="49"/>
        <v>790</v>
      </c>
      <c r="DC99" s="155">
        <f t="shared" si="50"/>
        <v>200</v>
      </c>
      <c r="DD99" s="155">
        <f t="shared" si="51"/>
        <v>17275</v>
      </c>
      <c r="DE99" s="155">
        <f t="shared" si="52"/>
        <v>104078</v>
      </c>
      <c r="DF99" s="155">
        <f t="shared" si="53"/>
        <v>0</v>
      </c>
      <c r="DG99" s="155">
        <f t="shared" si="54"/>
        <v>180</v>
      </c>
      <c r="DH99" s="155">
        <f t="shared" si="55"/>
        <v>30</v>
      </c>
      <c r="DI99" s="179">
        <v>0</v>
      </c>
      <c r="DJ99" s="179">
        <v>0</v>
      </c>
      <c r="DK99" s="155">
        <f t="shared" si="56"/>
        <v>0</v>
      </c>
      <c r="DL99" s="180">
        <v>0</v>
      </c>
      <c r="DM99" s="181">
        <f t="shared" si="57"/>
        <v>0.14406012092727227</v>
      </c>
      <c r="DN99" s="182"/>
      <c r="DO99" s="183">
        <f t="shared" si="58"/>
        <v>104898</v>
      </c>
      <c r="DP99" s="184">
        <f t="shared" si="59"/>
        <v>17655</v>
      </c>
    </row>
    <row r="100" spans="1:120">
      <c r="A100" s="146"/>
      <c r="B100" s="318">
        <f t="shared" si="60"/>
        <v>45597</v>
      </c>
      <c r="C100" s="150">
        <v>54270</v>
      </c>
      <c r="D100" s="147">
        <v>1500</v>
      </c>
      <c r="E100" s="148"/>
      <c r="F100" s="149"/>
      <c r="G100" s="148"/>
      <c r="H100" s="150"/>
      <c r="I100" s="147"/>
      <c r="J100" s="150"/>
      <c r="K100" s="150"/>
      <c r="L100" s="150">
        <v>11250</v>
      </c>
      <c r="M100" s="147">
        <v>360</v>
      </c>
      <c r="N100" s="151">
        <v>180</v>
      </c>
      <c r="O100" s="149">
        <v>8100</v>
      </c>
      <c r="P100" s="152">
        <v>4500</v>
      </c>
      <c r="Q100" s="152"/>
      <c r="R100" s="151"/>
      <c r="S100" s="152">
        <v>40</v>
      </c>
      <c r="T100" s="151">
        <v>60</v>
      </c>
      <c r="U100" s="153"/>
      <c r="V100" s="154"/>
      <c r="W100" s="155"/>
      <c r="X100" s="156"/>
      <c r="Y100" s="152">
        <v>350</v>
      </c>
      <c r="Z100" s="152"/>
      <c r="AA100" s="153"/>
      <c r="AB100" s="154"/>
      <c r="AC100" s="153">
        <v>10080</v>
      </c>
      <c r="AD100" s="154">
        <v>1500</v>
      </c>
      <c r="AE100" s="151"/>
      <c r="AF100" s="151">
        <v>4000</v>
      </c>
      <c r="AG100" s="155"/>
      <c r="AH100" s="153"/>
      <c r="AI100" s="154"/>
      <c r="AJ100" s="157"/>
      <c r="AK100" s="158"/>
      <c r="AL100" s="158"/>
      <c r="AM100" s="158">
        <v>520</v>
      </c>
      <c r="AN100" s="159"/>
      <c r="AO100" s="160">
        <f t="shared" si="61"/>
        <v>96010</v>
      </c>
      <c r="AP100" s="161"/>
      <c r="AQ100" s="161">
        <f t="shared" si="62"/>
        <v>520</v>
      </c>
      <c r="AR100" s="161">
        <f t="shared" si="63"/>
        <v>180</v>
      </c>
      <c r="AS100" s="162">
        <v>109326</v>
      </c>
      <c r="AT100" s="163">
        <f t="shared" si="42"/>
        <v>1.1304518664047152</v>
      </c>
      <c r="AU100" s="164"/>
      <c r="AV100" s="165">
        <v>6480</v>
      </c>
      <c r="AW100" s="152">
        <v>210</v>
      </c>
      <c r="AX100" s="156">
        <v>3100</v>
      </c>
      <c r="AY100" s="156">
        <v>200</v>
      </c>
      <c r="AZ100" s="156">
        <v>120</v>
      </c>
      <c r="BA100" s="166">
        <v>120</v>
      </c>
      <c r="BB100" s="167">
        <f t="shared" si="43"/>
        <v>10230</v>
      </c>
      <c r="BC100" s="168">
        <v>336</v>
      </c>
      <c r="BD100" s="167">
        <f t="shared" si="44"/>
        <v>336</v>
      </c>
      <c r="BE100" s="169"/>
      <c r="BF100" s="170">
        <v>2000</v>
      </c>
      <c r="BG100" s="171"/>
      <c r="BH100" s="171">
        <v>650</v>
      </c>
      <c r="BI100" s="172"/>
      <c r="BJ100" s="173">
        <f t="shared" si="45"/>
        <v>2650</v>
      </c>
      <c r="BK100" s="169"/>
      <c r="BL100" s="171">
        <v>2400</v>
      </c>
      <c r="BM100" s="171">
        <v>4000</v>
      </c>
      <c r="BN100" s="171">
        <v>3000</v>
      </c>
      <c r="BO100" s="171"/>
      <c r="BP100" s="174"/>
      <c r="BQ100" s="172"/>
      <c r="BR100" s="175">
        <f t="shared" si="46"/>
        <v>9400</v>
      </c>
      <c r="BS100" s="164">
        <v>240</v>
      </c>
      <c r="BT100" s="165">
        <v>200</v>
      </c>
      <c r="BU100" s="165"/>
      <c r="BV100" s="246">
        <v>40</v>
      </c>
      <c r="BW100" s="246">
        <v>100</v>
      </c>
      <c r="BX100" s="246">
        <v>540</v>
      </c>
      <c r="BY100" s="247">
        <v>380</v>
      </c>
      <c r="BZ100" s="247">
        <v>80</v>
      </c>
      <c r="CA100" s="152">
        <v>100</v>
      </c>
      <c r="CB100" s="152">
        <v>100</v>
      </c>
      <c r="CC100" s="165">
        <v>30</v>
      </c>
      <c r="CD100" s="152"/>
      <c r="CE100" s="165"/>
      <c r="CF100" s="152"/>
      <c r="CG100" s="152"/>
      <c r="CH100" s="247"/>
      <c r="CI100" s="247"/>
      <c r="CJ100" s="247"/>
      <c r="CK100" s="152">
        <v>660</v>
      </c>
      <c r="CL100" s="166">
        <v>100</v>
      </c>
      <c r="CM100" s="176">
        <f t="shared" si="47"/>
        <v>2570</v>
      </c>
      <c r="CN100" s="177"/>
      <c r="CO100" s="152"/>
      <c r="CP100" s="152">
        <v>25</v>
      </c>
      <c r="CQ100" s="152"/>
      <c r="CR100" s="152"/>
      <c r="CS100" s="152"/>
      <c r="CT100" s="152"/>
      <c r="CU100" s="152"/>
      <c r="CV100" s="152">
        <v>5</v>
      </c>
      <c r="CW100" s="152">
        <v>15</v>
      </c>
      <c r="CX100" s="152">
        <v>20</v>
      </c>
      <c r="CY100" s="152">
        <v>15</v>
      </c>
      <c r="CZ100" s="166"/>
      <c r="DA100" s="175">
        <f t="shared" si="48"/>
        <v>80</v>
      </c>
      <c r="DB100" s="186">
        <f t="shared" si="49"/>
        <v>2370</v>
      </c>
      <c r="DC100" s="187">
        <f t="shared" si="50"/>
        <v>200</v>
      </c>
      <c r="DD100" s="187">
        <f t="shared" si="51"/>
        <v>12050</v>
      </c>
      <c r="DE100" s="187">
        <f t="shared" si="52"/>
        <v>99079</v>
      </c>
      <c r="DF100" s="187">
        <f t="shared" si="53"/>
        <v>0</v>
      </c>
      <c r="DG100" s="187">
        <f t="shared" si="54"/>
        <v>180</v>
      </c>
      <c r="DH100" s="187">
        <f t="shared" si="55"/>
        <v>80</v>
      </c>
      <c r="DI100" s="188">
        <v>0</v>
      </c>
      <c r="DJ100" s="188">
        <v>0</v>
      </c>
      <c r="DK100" s="187">
        <f t="shared" si="56"/>
        <v>620.79999999999995</v>
      </c>
      <c r="DL100" s="189">
        <v>0</v>
      </c>
      <c r="DM100" s="190">
        <f t="shared" si="57"/>
        <v>0.1139014032141791</v>
      </c>
      <c r="DN100" s="182"/>
      <c r="DO100" s="183">
        <f t="shared" si="58"/>
        <v>101529</v>
      </c>
      <c r="DP100" s="184">
        <f t="shared" si="59"/>
        <v>13050.8</v>
      </c>
    </row>
    <row r="101" spans="1:120">
      <c r="A101" s="146"/>
      <c r="B101" s="318">
        <f t="shared" si="60"/>
        <v>45627</v>
      </c>
      <c r="C101" s="150">
        <v>57510</v>
      </c>
      <c r="D101" s="147">
        <v>1500</v>
      </c>
      <c r="E101" s="148"/>
      <c r="F101" s="149"/>
      <c r="G101" s="148"/>
      <c r="H101" s="150"/>
      <c r="I101" s="147"/>
      <c r="J101" s="150"/>
      <c r="K101" s="150"/>
      <c r="L101" s="150">
        <v>7500</v>
      </c>
      <c r="M101" s="147"/>
      <c r="N101" s="151">
        <v>360</v>
      </c>
      <c r="O101" s="149">
        <v>10260</v>
      </c>
      <c r="P101" s="152">
        <v>9487.5</v>
      </c>
      <c r="Q101" s="152"/>
      <c r="R101" s="151"/>
      <c r="S101" s="152"/>
      <c r="T101" s="151">
        <v>400</v>
      </c>
      <c r="U101" s="153"/>
      <c r="V101" s="154"/>
      <c r="W101" s="155"/>
      <c r="X101" s="156"/>
      <c r="Y101" s="152">
        <v>1225</v>
      </c>
      <c r="Z101" s="152"/>
      <c r="AA101" s="153"/>
      <c r="AB101" s="154"/>
      <c r="AC101" s="153">
        <v>3780</v>
      </c>
      <c r="AD101" s="154">
        <v>1000</v>
      </c>
      <c r="AE101" s="151"/>
      <c r="AF101" s="151">
        <v>4000</v>
      </c>
      <c r="AG101" s="155"/>
      <c r="AH101" s="153"/>
      <c r="AI101" s="154"/>
      <c r="AJ101" s="157">
        <v>300</v>
      </c>
      <c r="AK101" s="158"/>
      <c r="AL101" s="158"/>
      <c r="AM101" s="158">
        <v>280</v>
      </c>
      <c r="AN101" s="159"/>
      <c r="AO101" s="160">
        <f t="shared" si="61"/>
        <v>96962.5</v>
      </c>
      <c r="AP101" s="161"/>
      <c r="AQ101" s="161">
        <f t="shared" si="62"/>
        <v>280</v>
      </c>
      <c r="AR101" s="161">
        <f t="shared" si="63"/>
        <v>360</v>
      </c>
      <c r="AS101" s="162">
        <v>109912</v>
      </c>
      <c r="AT101" s="163">
        <f t="shared" si="42"/>
        <v>1.1261186957301299</v>
      </c>
      <c r="AU101" s="164"/>
      <c r="AV101" s="165">
        <v>14400</v>
      </c>
      <c r="AW101" s="152">
        <v>270</v>
      </c>
      <c r="AX101" s="156">
        <v>4900</v>
      </c>
      <c r="AY101" s="156">
        <v>650</v>
      </c>
      <c r="AZ101" s="156">
        <v>200</v>
      </c>
      <c r="BA101" s="166">
        <v>80</v>
      </c>
      <c r="BB101" s="167">
        <f t="shared" si="43"/>
        <v>20500</v>
      </c>
      <c r="BC101" s="168"/>
      <c r="BD101" s="167">
        <f t="shared" si="44"/>
        <v>0</v>
      </c>
      <c r="BE101" s="169"/>
      <c r="BF101" s="170"/>
      <c r="BG101" s="171">
        <v>2000</v>
      </c>
      <c r="BH101" s="171">
        <v>1900</v>
      </c>
      <c r="BI101" s="172"/>
      <c r="BJ101" s="173">
        <f t="shared" si="45"/>
        <v>3900</v>
      </c>
      <c r="BK101" s="169"/>
      <c r="BL101" s="171"/>
      <c r="BM101" s="171">
        <v>4800</v>
      </c>
      <c r="BN101" s="171">
        <v>4000</v>
      </c>
      <c r="BO101" s="171"/>
      <c r="BP101" s="174"/>
      <c r="BQ101" s="172"/>
      <c r="BR101" s="175">
        <f t="shared" si="46"/>
        <v>8800</v>
      </c>
      <c r="BS101" s="164">
        <v>220</v>
      </c>
      <c r="BT101" s="165"/>
      <c r="BU101" s="165"/>
      <c r="BV101" s="246"/>
      <c r="BW101" s="246"/>
      <c r="BX101" s="246">
        <v>500</v>
      </c>
      <c r="BY101" s="247">
        <v>640</v>
      </c>
      <c r="BZ101" s="247"/>
      <c r="CA101" s="152">
        <v>100</v>
      </c>
      <c r="CB101" s="152">
        <v>100</v>
      </c>
      <c r="CC101" s="165"/>
      <c r="CD101" s="152"/>
      <c r="CE101" s="165"/>
      <c r="CF101" s="152"/>
      <c r="CG101" s="152"/>
      <c r="CH101" s="247"/>
      <c r="CI101" s="247"/>
      <c r="CJ101" s="247"/>
      <c r="CK101" s="152">
        <v>760</v>
      </c>
      <c r="CL101" s="166">
        <v>300</v>
      </c>
      <c r="CM101" s="176">
        <f t="shared" si="47"/>
        <v>2620</v>
      </c>
      <c r="CN101" s="177"/>
      <c r="CO101" s="152"/>
      <c r="CP101" s="152"/>
      <c r="CQ101" s="152"/>
      <c r="CR101" s="152">
        <v>10</v>
      </c>
      <c r="CS101" s="152">
        <v>15</v>
      </c>
      <c r="CT101" s="152">
        <v>25</v>
      </c>
      <c r="CU101" s="152">
        <v>20</v>
      </c>
      <c r="CV101" s="152">
        <v>10</v>
      </c>
      <c r="CW101" s="152">
        <v>5</v>
      </c>
      <c r="CX101" s="152"/>
      <c r="CY101" s="152">
        <v>10</v>
      </c>
      <c r="CZ101" s="166"/>
      <c r="DA101" s="175">
        <f t="shared" si="48"/>
        <v>95</v>
      </c>
      <c r="DB101" s="178">
        <f t="shared" si="49"/>
        <v>2420</v>
      </c>
      <c r="DC101" s="155">
        <f t="shared" si="50"/>
        <v>200</v>
      </c>
      <c r="DD101" s="155">
        <f t="shared" si="51"/>
        <v>12700</v>
      </c>
      <c r="DE101" s="155">
        <f t="shared" si="52"/>
        <v>103112.5</v>
      </c>
      <c r="DF101" s="155">
        <f t="shared" si="53"/>
        <v>0</v>
      </c>
      <c r="DG101" s="155">
        <f t="shared" si="54"/>
        <v>360</v>
      </c>
      <c r="DH101" s="155">
        <f t="shared" si="55"/>
        <v>95</v>
      </c>
      <c r="DI101" s="179">
        <v>0</v>
      </c>
      <c r="DJ101" s="179">
        <v>0</v>
      </c>
      <c r="DK101" s="155">
        <f t="shared" si="56"/>
        <v>280</v>
      </c>
      <c r="DL101" s="180">
        <v>0</v>
      </c>
      <c r="DM101" s="181">
        <f t="shared" si="57"/>
        <v>0.11362158306585268</v>
      </c>
      <c r="DN101" s="182"/>
      <c r="DO101" s="183">
        <f t="shared" si="58"/>
        <v>105627.5</v>
      </c>
      <c r="DP101" s="184">
        <f t="shared" si="59"/>
        <v>13540</v>
      </c>
    </row>
    <row r="102" spans="1:120">
      <c r="A102" s="146"/>
      <c r="B102" s="318">
        <f t="shared" si="60"/>
        <v>45658</v>
      </c>
      <c r="C102" s="150">
        <v>56760</v>
      </c>
      <c r="D102" s="147">
        <v>1500</v>
      </c>
      <c r="E102" s="148"/>
      <c r="F102" s="149"/>
      <c r="G102" s="148"/>
      <c r="H102" s="150"/>
      <c r="I102" s="147"/>
      <c r="J102" s="150"/>
      <c r="K102" s="150"/>
      <c r="L102" s="150">
        <v>6150</v>
      </c>
      <c r="M102" s="147"/>
      <c r="N102" s="151">
        <v>360</v>
      </c>
      <c r="O102" s="149">
        <v>6480</v>
      </c>
      <c r="P102" s="152">
        <v>12125</v>
      </c>
      <c r="Q102" s="152"/>
      <c r="R102" s="151"/>
      <c r="S102" s="152">
        <v>10</v>
      </c>
      <c r="T102" s="151">
        <v>120</v>
      </c>
      <c r="U102" s="153"/>
      <c r="V102" s="154"/>
      <c r="W102" s="155"/>
      <c r="X102" s="156"/>
      <c r="Y102" s="152">
        <v>800</v>
      </c>
      <c r="Z102" s="152"/>
      <c r="AA102" s="153"/>
      <c r="AB102" s="154"/>
      <c r="AC102" s="153">
        <v>5040</v>
      </c>
      <c r="AD102" s="154">
        <v>1000</v>
      </c>
      <c r="AE102" s="151"/>
      <c r="AF102" s="151">
        <v>3000</v>
      </c>
      <c r="AG102" s="155"/>
      <c r="AH102" s="153"/>
      <c r="AI102" s="154"/>
      <c r="AJ102" s="157"/>
      <c r="AK102" s="158"/>
      <c r="AL102" s="158"/>
      <c r="AM102" s="158">
        <v>200</v>
      </c>
      <c r="AN102" s="159"/>
      <c r="AO102" s="160">
        <f t="shared" si="61"/>
        <v>92985</v>
      </c>
      <c r="AP102" s="161"/>
      <c r="AQ102" s="161">
        <f t="shared" si="62"/>
        <v>200</v>
      </c>
      <c r="AR102" s="161">
        <f t="shared" si="63"/>
        <v>360</v>
      </c>
      <c r="AS102" s="162">
        <v>112093</v>
      </c>
      <c r="AT102" s="163">
        <f t="shared" ref="AT102:AT116" si="64">AS102/(AO102+AP102+AQ102+AR102)</f>
        <v>1.1982789032016676</v>
      </c>
      <c r="AU102" s="164">
        <v>2700</v>
      </c>
      <c r="AV102" s="165">
        <v>7380</v>
      </c>
      <c r="AW102" s="152">
        <v>300</v>
      </c>
      <c r="AX102" s="156">
        <v>6750</v>
      </c>
      <c r="AY102" s="156">
        <v>1250</v>
      </c>
      <c r="AZ102" s="156">
        <v>300</v>
      </c>
      <c r="BA102" s="166">
        <v>600</v>
      </c>
      <c r="BB102" s="167">
        <f t="shared" ref="BB102:BB116" si="65">SUM(AU102:BA102)</f>
        <v>19280</v>
      </c>
      <c r="BC102" s="168">
        <v>120</v>
      </c>
      <c r="BD102" s="167">
        <f t="shared" ref="BD102:BD116" si="66">BC102</f>
        <v>120</v>
      </c>
      <c r="BE102" s="169"/>
      <c r="BF102" s="170"/>
      <c r="BG102" s="171"/>
      <c r="BH102" s="171">
        <v>450</v>
      </c>
      <c r="BI102" s="172"/>
      <c r="BJ102" s="173">
        <f t="shared" ref="BJ102:BJ116" si="67">SUM(BE102:BI102)</f>
        <v>450</v>
      </c>
      <c r="BK102" s="169"/>
      <c r="BL102" s="171">
        <v>1600</v>
      </c>
      <c r="BM102" s="171">
        <v>1600</v>
      </c>
      <c r="BN102" s="171">
        <v>1000</v>
      </c>
      <c r="BO102" s="171"/>
      <c r="BP102" s="174"/>
      <c r="BQ102" s="172"/>
      <c r="BR102" s="175">
        <f t="shared" ref="BR102:BR116" si="68">SUM(BK102:BQ102)</f>
        <v>4200</v>
      </c>
      <c r="BS102" s="164"/>
      <c r="BT102" s="165">
        <v>40</v>
      </c>
      <c r="BU102" s="165"/>
      <c r="BV102" s="246"/>
      <c r="BW102" s="246"/>
      <c r="BX102" s="246">
        <v>180</v>
      </c>
      <c r="BY102" s="247">
        <v>400</v>
      </c>
      <c r="BZ102" s="247"/>
      <c r="CA102" s="152">
        <v>100</v>
      </c>
      <c r="CB102" s="152">
        <v>100</v>
      </c>
      <c r="CC102" s="165"/>
      <c r="CD102" s="152"/>
      <c r="CE102" s="165"/>
      <c r="CF102" s="152"/>
      <c r="CG102" s="152"/>
      <c r="CH102" s="247"/>
      <c r="CI102" s="247"/>
      <c r="CJ102" s="247"/>
      <c r="CK102" s="152">
        <v>480</v>
      </c>
      <c r="CL102" s="166">
        <v>160</v>
      </c>
      <c r="CM102" s="176">
        <f t="shared" ref="CM102:CM116" si="69">SUM(BS102:CL102)</f>
        <v>1460</v>
      </c>
      <c r="CN102" s="177"/>
      <c r="CO102" s="152"/>
      <c r="CP102" s="152">
        <v>50</v>
      </c>
      <c r="CQ102" s="152"/>
      <c r="CR102" s="152"/>
      <c r="CS102" s="152">
        <v>70</v>
      </c>
      <c r="CT102" s="152">
        <v>50</v>
      </c>
      <c r="CU102" s="152"/>
      <c r="CV102" s="152"/>
      <c r="CW102" s="152"/>
      <c r="CX102" s="152">
        <v>10</v>
      </c>
      <c r="CY102" s="152">
        <v>10</v>
      </c>
      <c r="CZ102" s="166"/>
      <c r="DA102" s="175">
        <f t="shared" ref="DA102:DA116" si="70">SUM(CN102:CZ102)</f>
        <v>190</v>
      </c>
      <c r="DB102" s="178">
        <f t="shared" ref="DB102:DB116" si="71">CM102-CA102-CB102</f>
        <v>1260</v>
      </c>
      <c r="DC102" s="155">
        <f t="shared" ref="DC102:DC116" si="72">CA102+CB102</f>
        <v>200</v>
      </c>
      <c r="DD102" s="155">
        <f t="shared" ref="DD102:DD116" si="73">BJ102+BR102</f>
        <v>4650</v>
      </c>
      <c r="DE102" s="155">
        <f t="shared" ref="DE102:DE116" si="74">AO102+BB102*0.3</f>
        <v>98769</v>
      </c>
      <c r="DF102" s="155">
        <f t="shared" ref="DF102:DF116" si="75">AP102</f>
        <v>0</v>
      </c>
      <c r="DG102" s="155">
        <f t="shared" ref="DG102:DG116" si="76">AR102</f>
        <v>360</v>
      </c>
      <c r="DH102" s="155">
        <f t="shared" ref="DH102:DH116" si="77">DA102</f>
        <v>190</v>
      </c>
      <c r="DI102" s="179">
        <v>0</v>
      </c>
      <c r="DJ102" s="179">
        <v>0</v>
      </c>
      <c r="DK102" s="155">
        <f t="shared" ref="DK102:DK116" si="78">AQ102+0.3*BD102</f>
        <v>236</v>
      </c>
      <c r="DL102" s="180">
        <v>0</v>
      </c>
      <c r="DM102" s="181">
        <f t="shared" ref="DM102:DM116" si="79">DP102/(DO102+DP102)</f>
        <v>5.1540245114276254E-2</v>
      </c>
      <c r="DN102" s="182"/>
      <c r="DO102" s="183">
        <f t="shared" ref="DO102:DO116" si="80">DB102+DE102+DH102</f>
        <v>100219</v>
      </c>
      <c r="DP102" s="184">
        <f t="shared" ref="DP102:DP116" si="81">DC102+DD102+DF102+DG102+DI102+DJ102+DK102+DL102</f>
        <v>5446</v>
      </c>
    </row>
    <row r="103" spans="1:120">
      <c r="A103" s="146"/>
      <c r="B103" s="318">
        <f t="shared" ref="B103:B116" si="82">DATE(YEAR(B102),MONTH(B102)+1,1)</f>
        <v>45689</v>
      </c>
      <c r="C103" s="150">
        <v>50250</v>
      </c>
      <c r="D103" s="147">
        <v>1000</v>
      </c>
      <c r="E103" s="148"/>
      <c r="F103" s="149"/>
      <c r="G103" s="148"/>
      <c r="H103" s="150"/>
      <c r="I103" s="147"/>
      <c r="J103" s="150"/>
      <c r="K103" s="150"/>
      <c r="L103" s="150">
        <v>5850</v>
      </c>
      <c r="M103" s="147"/>
      <c r="N103" s="151">
        <v>180</v>
      </c>
      <c r="O103" s="149">
        <v>5040</v>
      </c>
      <c r="P103" s="152">
        <v>8350</v>
      </c>
      <c r="Q103" s="152"/>
      <c r="R103" s="151"/>
      <c r="S103" s="152">
        <v>10</v>
      </c>
      <c r="T103" s="151">
        <v>200</v>
      </c>
      <c r="U103" s="153"/>
      <c r="V103" s="154"/>
      <c r="W103" s="155">
        <v>300</v>
      </c>
      <c r="X103" s="156"/>
      <c r="Y103" s="152">
        <v>150</v>
      </c>
      <c r="Z103" s="152"/>
      <c r="AA103" s="153"/>
      <c r="AB103" s="154"/>
      <c r="AC103" s="153">
        <v>6300</v>
      </c>
      <c r="AD103" s="154">
        <v>1000</v>
      </c>
      <c r="AE103" s="151"/>
      <c r="AF103" s="151">
        <v>2000</v>
      </c>
      <c r="AG103" s="155"/>
      <c r="AH103" s="153"/>
      <c r="AI103" s="154"/>
      <c r="AJ103" s="157"/>
      <c r="AK103" s="158"/>
      <c r="AL103" s="158"/>
      <c r="AM103" s="158"/>
      <c r="AN103" s="159"/>
      <c r="AO103" s="160">
        <f t="shared" si="61"/>
        <v>80450</v>
      </c>
      <c r="AP103" s="161"/>
      <c r="AQ103" s="161">
        <f t="shared" si="62"/>
        <v>0</v>
      </c>
      <c r="AR103" s="161">
        <f t="shared" si="63"/>
        <v>180</v>
      </c>
      <c r="AS103" s="162">
        <v>113726</v>
      </c>
      <c r="AT103" s="163">
        <f t="shared" si="64"/>
        <v>1.4104675679027656</v>
      </c>
      <c r="AU103" s="164"/>
      <c r="AV103" s="165">
        <v>5220</v>
      </c>
      <c r="AW103" s="152">
        <v>210</v>
      </c>
      <c r="AX103" s="156">
        <v>5351</v>
      </c>
      <c r="AY103" s="156">
        <v>650</v>
      </c>
      <c r="AZ103" s="156">
        <v>60</v>
      </c>
      <c r="BA103" s="166">
        <v>160</v>
      </c>
      <c r="BB103" s="167">
        <f t="shared" si="65"/>
        <v>11651</v>
      </c>
      <c r="BC103" s="168"/>
      <c r="BD103" s="167">
        <f t="shared" si="66"/>
        <v>0</v>
      </c>
      <c r="BE103" s="169"/>
      <c r="BF103" s="170">
        <v>2000</v>
      </c>
      <c r="BG103" s="171">
        <v>1000</v>
      </c>
      <c r="BH103" s="171">
        <v>300</v>
      </c>
      <c r="BI103" s="172"/>
      <c r="BJ103" s="173">
        <f t="shared" si="67"/>
        <v>3300</v>
      </c>
      <c r="BK103" s="169"/>
      <c r="BL103" s="171">
        <v>1600</v>
      </c>
      <c r="BM103" s="171">
        <v>4800</v>
      </c>
      <c r="BN103" s="171">
        <v>2000</v>
      </c>
      <c r="BO103" s="171"/>
      <c r="BP103" s="174"/>
      <c r="BQ103" s="172"/>
      <c r="BR103" s="175">
        <f t="shared" si="68"/>
        <v>8400</v>
      </c>
      <c r="BS103" s="164"/>
      <c r="BT103" s="165">
        <v>40</v>
      </c>
      <c r="BU103" s="165"/>
      <c r="BV103" s="246"/>
      <c r="BW103" s="246"/>
      <c r="BX103" s="246">
        <v>300</v>
      </c>
      <c r="BY103" s="247">
        <v>480</v>
      </c>
      <c r="BZ103" s="247"/>
      <c r="CA103" s="152">
        <v>100</v>
      </c>
      <c r="CB103" s="152">
        <v>100</v>
      </c>
      <c r="CC103" s="165"/>
      <c r="CD103" s="152"/>
      <c r="CE103" s="165"/>
      <c r="CF103" s="152"/>
      <c r="CG103" s="152"/>
      <c r="CH103" s="247"/>
      <c r="CI103" s="247"/>
      <c r="CJ103" s="247"/>
      <c r="CK103" s="152">
        <v>760</v>
      </c>
      <c r="CL103" s="166"/>
      <c r="CM103" s="176">
        <f t="shared" si="69"/>
        <v>1780</v>
      </c>
      <c r="CN103" s="177"/>
      <c r="CO103" s="152"/>
      <c r="CP103" s="152">
        <v>100</v>
      </c>
      <c r="CQ103" s="152"/>
      <c r="CR103" s="152"/>
      <c r="CS103" s="152"/>
      <c r="CT103" s="152">
        <v>250</v>
      </c>
      <c r="CU103" s="152"/>
      <c r="CV103" s="152">
        <v>10</v>
      </c>
      <c r="CW103" s="152">
        <v>5</v>
      </c>
      <c r="CX103" s="152">
        <v>10</v>
      </c>
      <c r="CY103" s="152">
        <v>5</v>
      </c>
      <c r="CZ103" s="166"/>
      <c r="DA103" s="175">
        <f t="shared" si="70"/>
        <v>380</v>
      </c>
      <c r="DB103" s="178">
        <f t="shared" si="71"/>
        <v>1580</v>
      </c>
      <c r="DC103" s="155">
        <f t="shared" si="72"/>
        <v>200</v>
      </c>
      <c r="DD103" s="155">
        <f t="shared" si="73"/>
        <v>11700</v>
      </c>
      <c r="DE103" s="155">
        <f t="shared" si="74"/>
        <v>83945.3</v>
      </c>
      <c r="DF103" s="155">
        <f t="shared" si="75"/>
        <v>0</v>
      </c>
      <c r="DG103" s="155">
        <f t="shared" si="76"/>
        <v>180</v>
      </c>
      <c r="DH103" s="155">
        <f t="shared" si="77"/>
        <v>380</v>
      </c>
      <c r="DI103" s="179">
        <v>0</v>
      </c>
      <c r="DJ103" s="179">
        <v>0</v>
      </c>
      <c r="DK103" s="155">
        <f t="shared" si="78"/>
        <v>0</v>
      </c>
      <c r="DL103" s="180">
        <v>0</v>
      </c>
      <c r="DM103" s="181">
        <f t="shared" si="79"/>
        <v>0.12328379869225281</v>
      </c>
      <c r="DN103" s="182"/>
      <c r="DO103" s="183">
        <f t="shared" si="80"/>
        <v>85905.3</v>
      </c>
      <c r="DP103" s="184">
        <f t="shared" si="81"/>
        <v>12080</v>
      </c>
    </row>
    <row r="104" spans="1:120" ht="16.5" thickBot="1">
      <c r="A104" s="185"/>
      <c r="B104" s="319">
        <f t="shared" si="82"/>
        <v>45717</v>
      </c>
      <c r="C104" s="204">
        <v>46170</v>
      </c>
      <c r="D104" s="201">
        <v>2000</v>
      </c>
      <c r="E104" s="202"/>
      <c r="F104" s="203"/>
      <c r="G104" s="202"/>
      <c r="H104" s="204"/>
      <c r="I104" s="201"/>
      <c r="J104" s="204"/>
      <c r="K104" s="204"/>
      <c r="L104" s="204">
        <v>4950</v>
      </c>
      <c r="M104" s="201"/>
      <c r="N104" s="205"/>
      <c r="O104" s="203">
        <v>6300</v>
      </c>
      <c r="P104" s="206">
        <v>8237.5</v>
      </c>
      <c r="Q104" s="206"/>
      <c r="R104" s="205"/>
      <c r="S104" s="206"/>
      <c r="T104" s="205"/>
      <c r="U104" s="207"/>
      <c r="V104" s="208"/>
      <c r="W104" s="209"/>
      <c r="X104" s="210"/>
      <c r="Y104" s="206">
        <v>525</v>
      </c>
      <c r="Z104" s="206"/>
      <c r="AA104" s="207"/>
      <c r="AB104" s="208"/>
      <c r="AC104" s="207">
        <v>5040</v>
      </c>
      <c r="AD104" s="208">
        <v>500</v>
      </c>
      <c r="AE104" s="205"/>
      <c r="AF104" s="205"/>
      <c r="AG104" s="209"/>
      <c r="AH104" s="207"/>
      <c r="AI104" s="208"/>
      <c r="AJ104" s="211"/>
      <c r="AK104" s="212"/>
      <c r="AL104" s="212"/>
      <c r="AM104" s="212"/>
      <c r="AN104" s="213"/>
      <c r="AO104" s="214">
        <f t="shared" si="61"/>
        <v>73722.5</v>
      </c>
      <c r="AP104" s="215"/>
      <c r="AQ104" s="215">
        <f t="shared" si="62"/>
        <v>0</v>
      </c>
      <c r="AR104" s="215">
        <f t="shared" si="63"/>
        <v>0</v>
      </c>
      <c r="AS104" s="216">
        <v>110097</v>
      </c>
      <c r="AT104" s="217">
        <f t="shared" si="64"/>
        <v>1.4933975380650413</v>
      </c>
      <c r="AU104" s="218">
        <v>2940</v>
      </c>
      <c r="AV104" s="219">
        <v>6300</v>
      </c>
      <c r="AW104" s="206">
        <v>120</v>
      </c>
      <c r="AX104" s="210">
        <v>4700</v>
      </c>
      <c r="AY104" s="210">
        <v>650</v>
      </c>
      <c r="AZ104" s="210">
        <v>80</v>
      </c>
      <c r="BA104" s="220"/>
      <c r="BB104" s="221">
        <f t="shared" si="65"/>
        <v>14790</v>
      </c>
      <c r="BC104" s="222"/>
      <c r="BD104" s="221">
        <f t="shared" si="66"/>
        <v>0</v>
      </c>
      <c r="BE104" s="223"/>
      <c r="BF104" s="224">
        <v>1000</v>
      </c>
      <c r="BG104" s="225">
        <v>1000</v>
      </c>
      <c r="BH104" s="225">
        <v>3200</v>
      </c>
      <c r="BI104" s="226"/>
      <c r="BJ104" s="227">
        <f t="shared" si="67"/>
        <v>5200</v>
      </c>
      <c r="BK104" s="223"/>
      <c r="BL104" s="225">
        <v>1600</v>
      </c>
      <c r="BM104" s="225">
        <v>4000</v>
      </c>
      <c r="BN104" s="225">
        <v>2000</v>
      </c>
      <c r="BO104" s="225"/>
      <c r="BP104" s="228"/>
      <c r="BQ104" s="226"/>
      <c r="BR104" s="229">
        <f t="shared" si="68"/>
        <v>7600</v>
      </c>
      <c r="BS104" s="218"/>
      <c r="BT104" s="219">
        <v>40</v>
      </c>
      <c r="BU104" s="219"/>
      <c r="BV104" s="248"/>
      <c r="BW104" s="248"/>
      <c r="BX104" s="248">
        <v>180</v>
      </c>
      <c r="BY104" s="249">
        <v>200</v>
      </c>
      <c r="BZ104" s="249"/>
      <c r="CA104" s="206">
        <v>100</v>
      </c>
      <c r="CB104" s="206">
        <v>100</v>
      </c>
      <c r="CC104" s="219"/>
      <c r="CD104" s="206"/>
      <c r="CE104" s="219"/>
      <c r="CF104" s="206"/>
      <c r="CG104" s="206"/>
      <c r="CH104" s="249"/>
      <c r="CI104" s="249"/>
      <c r="CJ104" s="249"/>
      <c r="CK104" s="206">
        <v>480</v>
      </c>
      <c r="CL104" s="220"/>
      <c r="CM104" s="230">
        <f t="shared" si="69"/>
        <v>1100</v>
      </c>
      <c r="CN104" s="231"/>
      <c r="CO104" s="206"/>
      <c r="CP104" s="206">
        <v>70</v>
      </c>
      <c r="CQ104" s="206"/>
      <c r="CR104" s="206"/>
      <c r="CS104" s="206"/>
      <c r="CT104" s="206"/>
      <c r="CU104" s="206"/>
      <c r="CV104" s="206"/>
      <c r="CW104" s="206"/>
      <c r="CX104" s="206"/>
      <c r="CY104" s="206"/>
      <c r="CZ104" s="220"/>
      <c r="DA104" s="229">
        <f t="shared" si="70"/>
        <v>70</v>
      </c>
      <c r="DB104" s="240">
        <f t="shared" si="71"/>
        <v>900</v>
      </c>
      <c r="DC104" s="209">
        <f t="shared" si="72"/>
        <v>200</v>
      </c>
      <c r="DD104" s="209">
        <f t="shared" si="73"/>
        <v>12800</v>
      </c>
      <c r="DE104" s="209">
        <f t="shared" si="74"/>
        <v>78159.5</v>
      </c>
      <c r="DF104" s="209">
        <f t="shared" si="75"/>
        <v>0</v>
      </c>
      <c r="DG104" s="209">
        <f t="shared" si="76"/>
        <v>0</v>
      </c>
      <c r="DH104" s="209">
        <f t="shared" si="77"/>
        <v>70</v>
      </c>
      <c r="DI104" s="241">
        <v>0</v>
      </c>
      <c r="DJ104" s="241">
        <v>0</v>
      </c>
      <c r="DK104" s="209">
        <f t="shared" si="78"/>
        <v>0</v>
      </c>
      <c r="DL104" s="242">
        <v>0</v>
      </c>
      <c r="DM104" s="243">
        <f t="shared" si="79"/>
        <v>0.14110572617891121</v>
      </c>
      <c r="DN104" s="237"/>
      <c r="DO104" s="238">
        <f t="shared" si="80"/>
        <v>79129.5</v>
      </c>
      <c r="DP104" s="239">
        <f t="shared" si="81"/>
        <v>13000</v>
      </c>
    </row>
    <row r="105" spans="1:120">
      <c r="A105" s="191">
        <f>A93+1</f>
        <v>2025</v>
      </c>
      <c r="B105" s="317">
        <f t="shared" si="82"/>
        <v>45748</v>
      </c>
      <c r="C105" s="109">
        <v>50670</v>
      </c>
      <c r="D105" s="106">
        <v>2000</v>
      </c>
      <c r="E105" s="107"/>
      <c r="F105" s="111"/>
      <c r="G105" s="107"/>
      <c r="H105" s="109"/>
      <c r="I105" s="106"/>
      <c r="J105" s="109"/>
      <c r="K105" s="109"/>
      <c r="L105" s="109">
        <v>4125</v>
      </c>
      <c r="M105" s="106"/>
      <c r="N105" s="110">
        <v>360</v>
      </c>
      <c r="O105" s="111">
        <v>9450</v>
      </c>
      <c r="P105" s="112">
        <v>16350</v>
      </c>
      <c r="Q105" s="112"/>
      <c r="R105" s="110"/>
      <c r="S105" s="112"/>
      <c r="T105" s="110"/>
      <c r="U105" s="113"/>
      <c r="V105" s="114"/>
      <c r="W105" s="115"/>
      <c r="X105" s="116"/>
      <c r="Y105" s="112">
        <v>62.5</v>
      </c>
      <c r="Z105" s="112"/>
      <c r="AA105" s="113"/>
      <c r="AB105" s="114"/>
      <c r="AC105" s="113">
        <v>5040</v>
      </c>
      <c r="AD105" s="114">
        <v>1500</v>
      </c>
      <c r="AE105" s="110"/>
      <c r="AF105" s="110">
        <v>4000</v>
      </c>
      <c r="AG105" s="115"/>
      <c r="AH105" s="113"/>
      <c r="AI105" s="114"/>
      <c r="AJ105" s="117"/>
      <c r="AK105" s="118"/>
      <c r="AL105" s="118"/>
      <c r="AM105" s="118"/>
      <c r="AN105" s="119"/>
      <c r="AO105" s="120">
        <f t="shared" si="61"/>
        <v>93197.5</v>
      </c>
      <c r="AP105" s="121"/>
      <c r="AQ105" s="121">
        <f t="shared" si="62"/>
        <v>0</v>
      </c>
      <c r="AR105" s="121">
        <f t="shared" si="63"/>
        <v>360</v>
      </c>
      <c r="AS105" s="122">
        <v>115903</v>
      </c>
      <c r="AT105" s="123">
        <f t="shared" si="64"/>
        <v>1.2388424231087833</v>
      </c>
      <c r="AU105" s="124">
        <v>2520</v>
      </c>
      <c r="AV105" s="125">
        <v>7170</v>
      </c>
      <c r="AW105" s="112">
        <v>150</v>
      </c>
      <c r="AX105" s="116">
        <v>7450</v>
      </c>
      <c r="AY105" s="116">
        <v>500</v>
      </c>
      <c r="AZ105" s="116">
        <v>320</v>
      </c>
      <c r="BA105" s="126">
        <v>320</v>
      </c>
      <c r="BB105" s="127">
        <f t="shared" si="65"/>
        <v>18430</v>
      </c>
      <c r="BC105" s="128"/>
      <c r="BD105" s="127">
        <f t="shared" si="66"/>
        <v>0</v>
      </c>
      <c r="BE105" s="129"/>
      <c r="BF105" s="130"/>
      <c r="BG105" s="131"/>
      <c r="BH105" s="131">
        <v>750</v>
      </c>
      <c r="BI105" s="132"/>
      <c r="BJ105" s="133">
        <f t="shared" si="67"/>
        <v>750</v>
      </c>
      <c r="BK105" s="129"/>
      <c r="BL105" s="131">
        <v>800</v>
      </c>
      <c r="BM105" s="131">
        <v>1600</v>
      </c>
      <c r="BN105" s="131">
        <v>2000</v>
      </c>
      <c r="BO105" s="131"/>
      <c r="BP105" s="134"/>
      <c r="BQ105" s="132"/>
      <c r="BR105" s="135">
        <f t="shared" si="68"/>
        <v>4400</v>
      </c>
      <c r="BS105" s="124">
        <v>40</v>
      </c>
      <c r="BT105" s="125">
        <v>460</v>
      </c>
      <c r="BU105" s="125"/>
      <c r="BV105" s="244">
        <v>120</v>
      </c>
      <c r="BW105" s="244">
        <v>80</v>
      </c>
      <c r="BX105" s="244">
        <v>300</v>
      </c>
      <c r="BY105" s="245">
        <v>380</v>
      </c>
      <c r="BZ105" s="245">
        <v>20</v>
      </c>
      <c r="CA105" s="112">
        <v>100</v>
      </c>
      <c r="CB105" s="112">
        <v>100</v>
      </c>
      <c r="CC105" s="125">
        <v>30</v>
      </c>
      <c r="CD105" s="112">
        <v>30</v>
      </c>
      <c r="CE105" s="125"/>
      <c r="CF105" s="112"/>
      <c r="CG105" s="112"/>
      <c r="CH105" s="245"/>
      <c r="CI105" s="245"/>
      <c r="CJ105" s="245"/>
      <c r="CK105" s="112">
        <v>420</v>
      </c>
      <c r="CL105" s="126">
        <v>180</v>
      </c>
      <c r="CM105" s="136">
        <f t="shared" si="69"/>
        <v>2260</v>
      </c>
      <c r="CN105" s="137"/>
      <c r="CO105" s="112"/>
      <c r="CP105" s="112"/>
      <c r="CQ105" s="112"/>
      <c r="CR105" s="112">
        <v>20</v>
      </c>
      <c r="CS105" s="112"/>
      <c r="CT105" s="112"/>
      <c r="CU105" s="112"/>
      <c r="CV105" s="112"/>
      <c r="CW105" s="112">
        <v>5</v>
      </c>
      <c r="CX105" s="112">
        <v>15</v>
      </c>
      <c r="CY105" s="112">
        <v>5</v>
      </c>
      <c r="CZ105" s="126">
        <v>30</v>
      </c>
      <c r="DA105" s="135">
        <f t="shared" si="70"/>
        <v>75</v>
      </c>
      <c r="DB105" s="192">
        <f t="shared" si="71"/>
        <v>2060</v>
      </c>
      <c r="DC105" s="115">
        <f t="shared" si="72"/>
        <v>200</v>
      </c>
      <c r="DD105" s="115">
        <f t="shared" si="73"/>
        <v>5150</v>
      </c>
      <c r="DE105" s="115">
        <f t="shared" si="74"/>
        <v>98726.5</v>
      </c>
      <c r="DF105" s="115">
        <f t="shared" si="75"/>
        <v>0</v>
      </c>
      <c r="DG105" s="115">
        <f t="shared" si="76"/>
        <v>360</v>
      </c>
      <c r="DH105" s="115">
        <f t="shared" si="77"/>
        <v>75</v>
      </c>
      <c r="DI105" s="193">
        <v>0</v>
      </c>
      <c r="DJ105" s="193">
        <v>0</v>
      </c>
      <c r="DK105" s="115">
        <f t="shared" si="78"/>
        <v>0</v>
      </c>
      <c r="DL105" s="194">
        <v>0</v>
      </c>
      <c r="DM105" s="195">
        <f t="shared" si="79"/>
        <v>5.3579052560956728E-2</v>
      </c>
      <c r="DN105" s="143"/>
      <c r="DO105" s="144">
        <f t="shared" si="80"/>
        <v>100861.5</v>
      </c>
      <c r="DP105" s="145">
        <f t="shared" si="81"/>
        <v>5710</v>
      </c>
    </row>
    <row r="106" spans="1:120">
      <c r="A106" s="146"/>
      <c r="B106" s="318">
        <f t="shared" si="82"/>
        <v>45778</v>
      </c>
      <c r="C106" s="150">
        <v>63870</v>
      </c>
      <c r="D106" s="147">
        <v>2000</v>
      </c>
      <c r="E106" s="148"/>
      <c r="F106" s="149"/>
      <c r="G106" s="148"/>
      <c r="H106" s="150"/>
      <c r="I106" s="147"/>
      <c r="J106" s="150"/>
      <c r="K106" s="150"/>
      <c r="L106" s="150">
        <v>5025</v>
      </c>
      <c r="M106" s="147"/>
      <c r="N106" s="151"/>
      <c r="O106" s="149">
        <v>8550</v>
      </c>
      <c r="P106" s="152">
        <v>12075</v>
      </c>
      <c r="Q106" s="152"/>
      <c r="R106" s="151"/>
      <c r="S106" s="152"/>
      <c r="T106" s="151"/>
      <c r="U106" s="153"/>
      <c r="V106" s="154"/>
      <c r="W106" s="155"/>
      <c r="X106" s="156"/>
      <c r="Y106" s="152">
        <v>1325</v>
      </c>
      <c r="Z106" s="152"/>
      <c r="AA106" s="153"/>
      <c r="AB106" s="154"/>
      <c r="AC106" s="153">
        <v>5040</v>
      </c>
      <c r="AD106" s="154"/>
      <c r="AE106" s="151"/>
      <c r="AF106" s="151">
        <v>2000</v>
      </c>
      <c r="AG106" s="155"/>
      <c r="AH106" s="153"/>
      <c r="AI106" s="154"/>
      <c r="AJ106" s="157"/>
      <c r="AK106" s="158"/>
      <c r="AL106" s="158"/>
      <c r="AM106" s="158"/>
      <c r="AN106" s="159"/>
      <c r="AO106" s="160">
        <f t="shared" si="61"/>
        <v>99885</v>
      </c>
      <c r="AP106" s="161"/>
      <c r="AQ106" s="161">
        <f t="shared" si="62"/>
        <v>0</v>
      </c>
      <c r="AR106" s="161">
        <f t="shared" si="63"/>
        <v>0</v>
      </c>
      <c r="AS106" s="162">
        <v>115898</v>
      </c>
      <c r="AT106" s="163">
        <f t="shared" si="64"/>
        <v>1.1603143615157432</v>
      </c>
      <c r="AU106" s="164">
        <v>1080</v>
      </c>
      <c r="AV106" s="165">
        <v>9180</v>
      </c>
      <c r="AW106" s="152">
        <v>240</v>
      </c>
      <c r="AX106" s="156">
        <v>6650</v>
      </c>
      <c r="AY106" s="156">
        <v>400</v>
      </c>
      <c r="AZ106" s="156">
        <v>160</v>
      </c>
      <c r="BA106" s="166">
        <v>320</v>
      </c>
      <c r="BB106" s="167">
        <f t="shared" si="65"/>
        <v>18030</v>
      </c>
      <c r="BC106" s="168"/>
      <c r="BD106" s="167">
        <f t="shared" si="66"/>
        <v>0</v>
      </c>
      <c r="BE106" s="169"/>
      <c r="BF106" s="170"/>
      <c r="BG106" s="171">
        <v>1000</v>
      </c>
      <c r="BH106" s="171">
        <v>750</v>
      </c>
      <c r="BI106" s="172"/>
      <c r="BJ106" s="173">
        <f t="shared" si="67"/>
        <v>1750</v>
      </c>
      <c r="BK106" s="169"/>
      <c r="BL106" s="171">
        <v>800</v>
      </c>
      <c r="BM106" s="171">
        <v>1600</v>
      </c>
      <c r="BN106" s="171">
        <v>1000</v>
      </c>
      <c r="BO106" s="171"/>
      <c r="BP106" s="174"/>
      <c r="BQ106" s="172"/>
      <c r="BR106" s="175">
        <f t="shared" si="68"/>
        <v>3400</v>
      </c>
      <c r="BS106" s="164"/>
      <c r="BT106" s="165">
        <v>800</v>
      </c>
      <c r="BU106" s="165"/>
      <c r="BV106" s="246"/>
      <c r="BW106" s="246"/>
      <c r="BX106" s="246">
        <v>220</v>
      </c>
      <c r="BY106" s="247">
        <v>300</v>
      </c>
      <c r="BZ106" s="247"/>
      <c r="CA106" s="152">
        <v>100</v>
      </c>
      <c r="CB106" s="152">
        <v>100</v>
      </c>
      <c r="CC106" s="165"/>
      <c r="CD106" s="152">
        <v>100</v>
      </c>
      <c r="CE106" s="165"/>
      <c r="CF106" s="152">
        <v>100</v>
      </c>
      <c r="CG106" s="152"/>
      <c r="CH106" s="247"/>
      <c r="CI106" s="247"/>
      <c r="CJ106" s="247"/>
      <c r="CK106" s="152">
        <v>760</v>
      </c>
      <c r="CL106" s="166"/>
      <c r="CM106" s="176">
        <f t="shared" si="69"/>
        <v>2480</v>
      </c>
      <c r="CN106" s="177"/>
      <c r="CO106" s="152"/>
      <c r="CP106" s="152"/>
      <c r="CQ106" s="152"/>
      <c r="CR106" s="152">
        <v>5</v>
      </c>
      <c r="CS106" s="152"/>
      <c r="CT106" s="152">
        <v>270</v>
      </c>
      <c r="CU106" s="152">
        <v>65</v>
      </c>
      <c r="CV106" s="152">
        <v>10</v>
      </c>
      <c r="CW106" s="152">
        <v>10</v>
      </c>
      <c r="CX106" s="152"/>
      <c r="CY106" s="152"/>
      <c r="CZ106" s="166">
        <v>50</v>
      </c>
      <c r="DA106" s="175">
        <f t="shared" si="70"/>
        <v>410</v>
      </c>
      <c r="DB106" s="186">
        <f t="shared" si="71"/>
        <v>2280</v>
      </c>
      <c r="DC106" s="187">
        <f t="shared" si="72"/>
        <v>200</v>
      </c>
      <c r="DD106" s="187">
        <f t="shared" si="73"/>
        <v>5150</v>
      </c>
      <c r="DE106" s="187">
        <f t="shared" si="74"/>
        <v>105294</v>
      </c>
      <c r="DF106" s="187">
        <f t="shared" si="75"/>
        <v>0</v>
      </c>
      <c r="DG106" s="187">
        <f t="shared" si="76"/>
        <v>0</v>
      </c>
      <c r="DH106" s="187">
        <f t="shared" si="77"/>
        <v>410</v>
      </c>
      <c r="DI106" s="188">
        <v>0</v>
      </c>
      <c r="DJ106" s="188">
        <v>0</v>
      </c>
      <c r="DK106" s="187">
        <f t="shared" si="78"/>
        <v>0</v>
      </c>
      <c r="DL106" s="189">
        <v>0</v>
      </c>
      <c r="DM106" s="190">
        <f t="shared" si="79"/>
        <v>4.7205604672913688E-2</v>
      </c>
      <c r="DN106" s="182"/>
      <c r="DO106" s="183">
        <f t="shared" si="80"/>
        <v>107984</v>
      </c>
      <c r="DP106" s="184">
        <f t="shared" si="81"/>
        <v>5350</v>
      </c>
    </row>
    <row r="107" spans="1:120">
      <c r="A107" s="146"/>
      <c r="B107" s="318">
        <f t="shared" si="82"/>
        <v>45809</v>
      </c>
      <c r="C107" s="150">
        <v>39780</v>
      </c>
      <c r="D107" s="147">
        <v>1000</v>
      </c>
      <c r="E107" s="148"/>
      <c r="F107" s="149"/>
      <c r="G107" s="148"/>
      <c r="H107" s="150"/>
      <c r="I107" s="147"/>
      <c r="J107" s="150"/>
      <c r="K107" s="150"/>
      <c r="L107" s="150">
        <v>6600</v>
      </c>
      <c r="M107" s="147">
        <v>360</v>
      </c>
      <c r="N107" s="151">
        <v>180</v>
      </c>
      <c r="O107" s="149">
        <v>9180</v>
      </c>
      <c r="P107" s="152">
        <v>16500</v>
      </c>
      <c r="Q107" s="152"/>
      <c r="R107" s="151"/>
      <c r="S107" s="152">
        <v>90</v>
      </c>
      <c r="T107" s="151">
        <v>400</v>
      </c>
      <c r="U107" s="153"/>
      <c r="V107" s="154"/>
      <c r="W107" s="155"/>
      <c r="X107" s="156"/>
      <c r="Y107" s="152">
        <v>475</v>
      </c>
      <c r="Z107" s="152"/>
      <c r="AA107" s="153"/>
      <c r="AB107" s="154"/>
      <c r="AC107" s="153">
        <v>6285</v>
      </c>
      <c r="AD107" s="154">
        <v>500</v>
      </c>
      <c r="AE107" s="151"/>
      <c r="AF107" s="151">
        <v>7000</v>
      </c>
      <c r="AG107" s="155"/>
      <c r="AH107" s="153"/>
      <c r="AI107" s="154"/>
      <c r="AJ107" s="157"/>
      <c r="AK107" s="158"/>
      <c r="AL107" s="158"/>
      <c r="AM107" s="158"/>
      <c r="AN107" s="159"/>
      <c r="AO107" s="160">
        <f t="shared" si="61"/>
        <v>88170</v>
      </c>
      <c r="AP107" s="161"/>
      <c r="AQ107" s="161">
        <f t="shared" si="62"/>
        <v>0</v>
      </c>
      <c r="AR107" s="161">
        <f t="shared" si="63"/>
        <v>180</v>
      </c>
      <c r="AS107" s="162">
        <v>128037</v>
      </c>
      <c r="AT107" s="163">
        <f t="shared" si="64"/>
        <v>1.4492020373514432</v>
      </c>
      <c r="AU107" s="164">
        <v>4260</v>
      </c>
      <c r="AV107" s="165">
        <v>4620</v>
      </c>
      <c r="AW107" s="152">
        <v>270</v>
      </c>
      <c r="AX107" s="156">
        <v>7250</v>
      </c>
      <c r="AY107" s="156">
        <v>550</v>
      </c>
      <c r="AZ107" s="156">
        <v>300</v>
      </c>
      <c r="BA107" s="166">
        <v>600</v>
      </c>
      <c r="BB107" s="167">
        <f t="shared" si="65"/>
        <v>17850</v>
      </c>
      <c r="BC107" s="168"/>
      <c r="BD107" s="167">
        <f t="shared" si="66"/>
        <v>0</v>
      </c>
      <c r="BE107" s="169"/>
      <c r="BF107" s="170">
        <v>1000</v>
      </c>
      <c r="BG107" s="171">
        <v>1000</v>
      </c>
      <c r="BH107" s="171"/>
      <c r="BI107" s="172"/>
      <c r="BJ107" s="173">
        <f t="shared" si="67"/>
        <v>2000</v>
      </c>
      <c r="BK107" s="169"/>
      <c r="BL107" s="171">
        <v>1600</v>
      </c>
      <c r="BM107" s="171">
        <v>3200</v>
      </c>
      <c r="BN107" s="171">
        <v>7000</v>
      </c>
      <c r="BO107" s="171"/>
      <c r="BP107" s="174"/>
      <c r="BQ107" s="172"/>
      <c r="BR107" s="175">
        <f t="shared" si="68"/>
        <v>11800</v>
      </c>
      <c r="BS107" s="164"/>
      <c r="BT107" s="165">
        <v>200</v>
      </c>
      <c r="BU107" s="165"/>
      <c r="BV107" s="246"/>
      <c r="BW107" s="246"/>
      <c r="BX107" s="246">
        <v>300</v>
      </c>
      <c r="BY107" s="247">
        <v>400</v>
      </c>
      <c r="BZ107" s="247"/>
      <c r="CA107" s="152">
        <v>100</v>
      </c>
      <c r="CB107" s="152">
        <v>100</v>
      </c>
      <c r="CC107" s="165"/>
      <c r="CD107" s="152"/>
      <c r="CE107" s="165"/>
      <c r="CF107" s="152"/>
      <c r="CG107" s="152"/>
      <c r="CH107" s="247"/>
      <c r="CI107" s="247"/>
      <c r="CJ107" s="247"/>
      <c r="CK107" s="152">
        <v>540</v>
      </c>
      <c r="CL107" s="166">
        <v>160</v>
      </c>
      <c r="CM107" s="176">
        <f t="shared" si="69"/>
        <v>1800</v>
      </c>
      <c r="CN107" s="177"/>
      <c r="CO107" s="152"/>
      <c r="CP107" s="152">
        <v>125</v>
      </c>
      <c r="CQ107" s="152"/>
      <c r="CR107" s="152"/>
      <c r="CS107" s="152">
        <v>5</v>
      </c>
      <c r="CT107" s="152">
        <v>25</v>
      </c>
      <c r="CU107" s="152"/>
      <c r="CV107" s="152">
        <v>5</v>
      </c>
      <c r="CW107" s="152">
        <v>10</v>
      </c>
      <c r="CX107" s="152">
        <v>25</v>
      </c>
      <c r="CY107" s="152">
        <v>10</v>
      </c>
      <c r="CZ107" s="166"/>
      <c r="DA107" s="175">
        <f t="shared" si="70"/>
        <v>205</v>
      </c>
      <c r="DB107" s="178">
        <f t="shared" si="71"/>
        <v>1600</v>
      </c>
      <c r="DC107" s="155">
        <f t="shared" si="72"/>
        <v>200</v>
      </c>
      <c r="DD107" s="155">
        <f t="shared" si="73"/>
        <v>13800</v>
      </c>
      <c r="DE107" s="155">
        <f t="shared" si="74"/>
        <v>93525</v>
      </c>
      <c r="DF107" s="155">
        <f t="shared" si="75"/>
        <v>0</v>
      </c>
      <c r="DG107" s="155">
        <f t="shared" si="76"/>
        <v>180</v>
      </c>
      <c r="DH107" s="155">
        <f t="shared" si="77"/>
        <v>205</v>
      </c>
      <c r="DI107" s="179">
        <v>0</v>
      </c>
      <c r="DJ107" s="179">
        <v>0</v>
      </c>
      <c r="DK107" s="155">
        <f t="shared" si="78"/>
        <v>0</v>
      </c>
      <c r="DL107" s="180">
        <v>0</v>
      </c>
      <c r="DM107" s="181">
        <f t="shared" si="79"/>
        <v>0.12948589169938818</v>
      </c>
      <c r="DN107" s="182"/>
      <c r="DO107" s="183">
        <f t="shared" si="80"/>
        <v>95330</v>
      </c>
      <c r="DP107" s="184">
        <f t="shared" si="81"/>
        <v>14180</v>
      </c>
    </row>
    <row r="108" spans="1:120">
      <c r="A108" s="196"/>
      <c r="B108" s="326">
        <f t="shared" si="82"/>
        <v>45839</v>
      </c>
      <c r="C108" s="150">
        <v>50940</v>
      </c>
      <c r="D108" s="147">
        <v>3000</v>
      </c>
      <c r="E108" s="148"/>
      <c r="F108" s="149"/>
      <c r="G108" s="148"/>
      <c r="H108" s="150"/>
      <c r="I108" s="147"/>
      <c r="J108" s="150"/>
      <c r="K108" s="150"/>
      <c r="L108" s="150">
        <v>3900</v>
      </c>
      <c r="M108" s="147"/>
      <c r="N108" s="151"/>
      <c r="O108" s="149">
        <v>9720</v>
      </c>
      <c r="P108" s="152">
        <v>9987.5</v>
      </c>
      <c r="Q108" s="152"/>
      <c r="R108" s="151"/>
      <c r="S108" s="152">
        <v>40</v>
      </c>
      <c r="T108" s="151">
        <v>200</v>
      </c>
      <c r="U108" s="153"/>
      <c r="V108" s="154"/>
      <c r="W108" s="155"/>
      <c r="X108" s="156"/>
      <c r="Y108" s="152"/>
      <c r="Z108" s="152"/>
      <c r="AA108" s="153"/>
      <c r="AB108" s="154"/>
      <c r="AC108" s="153">
        <v>7560</v>
      </c>
      <c r="AD108" s="154">
        <v>2500</v>
      </c>
      <c r="AE108" s="151"/>
      <c r="AF108" s="151">
        <v>8000</v>
      </c>
      <c r="AG108" s="155"/>
      <c r="AH108" s="153"/>
      <c r="AI108" s="154"/>
      <c r="AJ108" s="157"/>
      <c r="AK108" s="158"/>
      <c r="AL108" s="158"/>
      <c r="AM108" s="158">
        <v>400</v>
      </c>
      <c r="AN108" s="159"/>
      <c r="AO108" s="160">
        <f t="shared" si="61"/>
        <v>95847.5</v>
      </c>
      <c r="AP108" s="161"/>
      <c r="AQ108" s="161">
        <f t="shared" si="62"/>
        <v>400</v>
      </c>
      <c r="AR108" s="161">
        <f t="shared" si="63"/>
        <v>0</v>
      </c>
      <c r="AS108" s="162">
        <v>136316</v>
      </c>
      <c r="AT108" s="163">
        <f t="shared" si="64"/>
        <v>1.4163069170627809</v>
      </c>
      <c r="AU108" s="164">
        <v>1260</v>
      </c>
      <c r="AV108" s="165">
        <v>7440</v>
      </c>
      <c r="AW108" s="152">
        <v>390</v>
      </c>
      <c r="AX108" s="156">
        <v>2900</v>
      </c>
      <c r="AY108" s="156">
        <v>600</v>
      </c>
      <c r="AZ108" s="156">
        <v>60</v>
      </c>
      <c r="BA108" s="166">
        <v>280</v>
      </c>
      <c r="BB108" s="167">
        <f t="shared" si="65"/>
        <v>12930</v>
      </c>
      <c r="BC108" s="168">
        <v>180</v>
      </c>
      <c r="BD108" s="167">
        <f t="shared" si="66"/>
        <v>180</v>
      </c>
      <c r="BE108" s="169"/>
      <c r="BF108" s="170">
        <v>1000</v>
      </c>
      <c r="BG108" s="171">
        <v>1000</v>
      </c>
      <c r="BH108" s="171">
        <v>750</v>
      </c>
      <c r="BI108" s="172"/>
      <c r="BJ108" s="173">
        <f t="shared" si="67"/>
        <v>2750</v>
      </c>
      <c r="BK108" s="169"/>
      <c r="BL108" s="171">
        <v>800</v>
      </c>
      <c r="BM108" s="171">
        <v>4000</v>
      </c>
      <c r="BN108" s="171">
        <v>1000</v>
      </c>
      <c r="BO108" s="171"/>
      <c r="BP108" s="174"/>
      <c r="BQ108" s="172"/>
      <c r="BR108" s="175">
        <f t="shared" si="68"/>
        <v>5800</v>
      </c>
      <c r="BS108" s="164"/>
      <c r="BT108" s="165"/>
      <c r="BU108" s="165"/>
      <c r="BV108" s="246"/>
      <c r="BW108" s="246"/>
      <c r="BX108" s="246">
        <v>500</v>
      </c>
      <c r="BY108" s="247">
        <v>580</v>
      </c>
      <c r="BZ108" s="247"/>
      <c r="CA108" s="152">
        <v>100</v>
      </c>
      <c r="CB108" s="152">
        <v>100</v>
      </c>
      <c r="CC108" s="165"/>
      <c r="CD108" s="152"/>
      <c r="CE108" s="165"/>
      <c r="CF108" s="152"/>
      <c r="CG108" s="152"/>
      <c r="CH108" s="247">
        <v>60</v>
      </c>
      <c r="CI108" s="247">
        <v>60</v>
      </c>
      <c r="CJ108" s="247"/>
      <c r="CK108" s="152">
        <v>700</v>
      </c>
      <c r="CL108" s="166">
        <v>120</v>
      </c>
      <c r="CM108" s="176">
        <f t="shared" si="69"/>
        <v>2220</v>
      </c>
      <c r="CN108" s="177"/>
      <c r="CO108" s="152"/>
      <c r="CP108" s="152">
        <v>50</v>
      </c>
      <c r="CQ108" s="152"/>
      <c r="CR108" s="152"/>
      <c r="CS108" s="152">
        <v>50</v>
      </c>
      <c r="CT108" s="152"/>
      <c r="CU108" s="152">
        <v>50</v>
      </c>
      <c r="CV108" s="152"/>
      <c r="CW108" s="152">
        <v>5</v>
      </c>
      <c r="CX108" s="152">
        <v>20</v>
      </c>
      <c r="CY108" s="152">
        <v>20</v>
      </c>
      <c r="CZ108" s="166">
        <v>10</v>
      </c>
      <c r="DA108" s="175">
        <f t="shared" si="70"/>
        <v>205</v>
      </c>
      <c r="DB108" s="186">
        <f t="shared" si="71"/>
        <v>2020</v>
      </c>
      <c r="DC108" s="187">
        <f t="shared" si="72"/>
        <v>200</v>
      </c>
      <c r="DD108" s="187">
        <f t="shared" si="73"/>
        <v>8550</v>
      </c>
      <c r="DE108" s="187">
        <f t="shared" si="74"/>
        <v>99726.5</v>
      </c>
      <c r="DF108" s="187">
        <f t="shared" si="75"/>
        <v>0</v>
      </c>
      <c r="DG108" s="187">
        <f t="shared" si="76"/>
        <v>0</v>
      </c>
      <c r="DH108" s="187">
        <f t="shared" si="77"/>
        <v>205</v>
      </c>
      <c r="DI108" s="188">
        <v>0</v>
      </c>
      <c r="DJ108" s="188">
        <v>0</v>
      </c>
      <c r="DK108" s="187">
        <f t="shared" si="78"/>
        <v>454</v>
      </c>
      <c r="DL108" s="189">
        <v>0</v>
      </c>
      <c r="DM108" s="190">
        <f t="shared" si="79"/>
        <v>8.2802920233366772E-2</v>
      </c>
      <c r="DN108" s="182"/>
      <c r="DO108" s="183">
        <f t="shared" si="80"/>
        <v>101951.5</v>
      </c>
      <c r="DP108" s="184">
        <f t="shared" si="81"/>
        <v>9204</v>
      </c>
    </row>
    <row r="109" spans="1:120">
      <c r="A109" s="146"/>
      <c r="B109" s="318">
        <f t="shared" si="82"/>
        <v>45870</v>
      </c>
      <c r="C109" s="150">
        <v>45000</v>
      </c>
      <c r="D109" s="147">
        <v>1000</v>
      </c>
      <c r="E109" s="148"/>
      <c r="F109" s="149"/>
      <c r="G109" s="148"/>
      <c r="H109" s="150"/>
      <c r="I109" s="147"/>
      <c r="J109" s="150"/>
      <c r="K109" s="150"/>
      <c r="L109" s="150">
        <v>6150</v>
      </c>
      <c r="M109" s="147">
        <v>540</v>
      </c>
      <c r="N109" s="151">
        <v>180</v>
      </c>
      <c r="O109" s="149">
        <v>12600</v>
      </c>
      <c r="P109" s="152">
        <v>2499</v>
      </c>
      <c r="Q109" s="152"/>
      <c r="R109" s="151"/>
      <c r="S109" s="152"/>
      <c r="T109" s="151"/>
      <c r="U109" s="153"/>
      <c r="V109" s="154"/>
      <c r="W109" s="155"/>
      <c r="X109" s="156"/>
      <c r="Y109" s="152">
        <v>325</v>
      </c>
      <c r="Z109" s="152"/>
      <c r="AA109" s="153"/>
      <c r="AB109" s="154"/>
      <c r="AC109" s="153">
        <v>2520</v>
      </c>
      <c r="AD109" s="154"/>
      <c r="AE109" s="151"/>
      <c r="AF109" s="151">
        <v>4000</v>
      </c>
      <c r="AG109" s="155"/>
      <c r="AH109" s="153"/>
      <c r="AI109" s="154">
        <v>1000</v>
      </c>
      <c r="AJ109" s="157"/>
      <c r="AK109" s="158"/>
      <c r="AL109" s="158"/>
      <c r="AM109" s="158"/>
      <c r="AN109" s="159"/>
      <c r="AO109" s="160">
        <f t="shared" si="61"/>
        <v>75634</v>
      </c>
      <c r="AP109" s="161"/>
      <c r="AQ109" s="161">
        <f t="shared" si="62"/>
        <v>0</v>
      </c>
      <c r="AR109" s="161">
        <f t="shared" si="63"/>
        <v>180</v>
      </c>
      <c r="AS109" s="162">
        <v>97934</v>
      </c>
      <c r="AT109" s="163">
        <f t="shared" si="64"/>
        <v>1.2917666921676736</v>
      </c>
      <c r="AU109" s="164">
        <v>2280</v>
      </c>
      <c r="AV109" s="165">
        <v>4260</v>
      </c>
      <c r="AW109" s="152">
        <v>90</v>
      </c>
      <c r="AX109" s="156">
        <v>3500</v>
      </c>
      <c r="AY109" s="156"/>
      <c r="AZ109" s="156"/>
      <c r="BA109" s="166">
        <v>200</v>
      </c>
      <c r="BB109" s="167">
        <f t="shared" si="65"/>
        <v>10330</v>
      </c>
      <c r="BC109" s="168"/>
      <c r="BD109" s="167">
        <f t="shared" si="66"/>
        <v>0</v>
      </c>
      <c r="BE109" s="169"/>
      <c r="BF109" s="170">
        <v>1000</v>
      </c>
      <c r="BG109" s="171">
        <v>1000</v>
      </c>
      <c r="BH109" s="171">
        <v>750</v>
      </c>
      <c r="BI109" s="172"/>
      <c r="BJ109" s="173">
        <f t="shared" si="67"/>
        <v>2750</v>
      </c>
      <c r="BK109" s="169"/>
      <c r="BL109" s="171">
        <v>1600</v>
      </c>
      <c r="BM109" s="171">
        <v>3200</v>
      </c>
      <c r="BN109" s="171">
        <v>6000</v>
      </c>
      <c r="BO109" s="171"/>
      <c r="BP109" s="174"/>
      <c r="BQ109" s="172"/>
      <c r="BR109" s="175">
        <f t="shared" si="68"/>
        <v>10800</v>
      </c>
      <c r="BS109" s="164"/>
      <c r="BT109" s="165"/>
      <c r="BU109" s="165"/>
      <c r="BV109" s="246"/>
      <c r="BW109" s="246"/>
      <c r="BX109" s="246">
        <v>200</v>
      </c>
      <c r="BY109" s="247">
        <v>200</v>
      </c>
      <c r="BZ109" s="247"/>
      <c r="CA109" s="152">
        <v>100</v>
      </c>
      <c r="CB109" s="152">
        <v>100</v>
      </c>
      <c r="CC109" s="165"/>
      <c r="CD109" s="152"/>
      <c r="CE109" s="165"/>
      <c r="CF109" s="152"/>
      <c r="CG109" s="152"/>
      <c r="CH109" s="247"/>
      <c r="CI109" s="247"/>
      <c r="CJ109" s="247"/>
      <c r="CK109" s="152">
        <v>400</v>
      </c>
      <c r="CL109" s="166"/>
      <c r="CM109" s="176">
        <f t="shared" si="69"/>
        <v>1000</v>
      </c>
      <c r="CN109" s="177"/>
      <c r="CO109" s="152"/>
      <c r="CP109" s="152">
        <v>250</v>
      </c>
      <c r="CQ109" s="152"/>
      <c r="CR109" s="152"/>
      <c r="CS109" s="152"/>
      <c r="CT109" s="152"/>
      <c r="CU109" s="152"/>
      <c r="CV109" s="152">
        <v>5</v>
      </c>
      <c r="CW109" s="152">
        <v>25</v>
      </c>
      <c r="CX109" s="152">
        <v>20</v>
      </c>
      <c r="CY109" s="152">
        <v>15</v>
      </c>
      <c r="CZ109" s="166">
        <v>60</v>
      </c>
      <c r="DA109" s="175">
        <f t="shared" si="70"/>
        <v>375</v>
      </c>
      <c r="DB109" s="178">
        <f t="shared" si="71"/>
        <v>800</v>
      </c>
      <c r="DC109" s="155">
        <f t="shared" si="72"/>
        <v>200</v>
      </c>
      <c r="DD109" s="155">
        <f t="shared" si="73"/>
        <v>13550</v>
      </c>
      <c r="DE109" s="155">
        <f t="shared" si="74"/>
        <v>78733</v>
      </c>
      <c r="DF109" s="155">
        <f t="shared" si="75"/>
        <v>0</v>
      </c>
      <c r="DG109" s="155">
        <f t="shared" si="76"/>
        <v>180</v>
      </c>
      <c r="DH109" s="155">
        <f t="shared" si="77"/>
        <v>375</v>
      </c>
      <c r="DI109" s="179">
        <v>0</v>
      </c>
      <c r="DJ109" s="179">
        <v>0</v>
      </c>
      <c r="DK109" s="155">
        <f t="shared" si="78"/>
        <v>0</v>
      </c>
      <c r="DL109" s="180">
        <v>0</v>
      </c>
      <c r="DM109" s="181">
        <f t="shared" si="79"/>
        <v>0.14844732411176709</v>
      </c>
      <c r="DN109" s="182"/>
      <c r="DO109" s="183">
        <f t="shared" si="80"/>
        <v>79908</v>
      </c>
      <c r="DP109" s="184">
        <f t="shared" si="81"/>
        <v>13930</v>
      </c>
    </row>
    <row r="110" spans="1:120">
      <c r="A110" s="146"/>
      <c r="B110" s="318">
        <f t="shared" si="82"/>
        <v>45901</v>
      </c>
      <c r="C110" s="150">
        <v>49950</v>
      </c>
      <c r="D110" s="147">
        <v>2000</v>
      </c>
      <c r="E110" s="148"/>
      <c r="F110" s="149"/>
      <c r="G110" s="148"/>
      <c r="H110" s="150"/>
      <c r="I110" s="147"/>
      <c r="J110" s="150"/>
      <c r="K110" s="150"/>
      <c r="L110" s="150">
        <v>3900</v>
      </c>
      <c r="M110" s="147"/>
      <c r="N110" s="151">
        <v>180</v>
      </c>
      <c r="O110" s="149">
        <v>7560</v>
      </c>
      <c r="P110" s="152">
        <v>8125</v>
      </c>
      <c r="Q110" s="152"/>
      <c r="R110" s="151"/>
      <c r="S110" s="152"/>
      <c r="T110" s="151"/>
      <c r="U110" s="153"/>
      <c r="V110" s="154"/>
      <c r="W110" s="155"/>
      <c r="X110" s="156"/>
      <c r="Y110" s="152">
        <v>1475</v>
      </c>
      <c r="Z110" s="152"/>
      <c r="AA110" s="153"/>
      <c r="AB110" s="154"/>
      <c r="AC110" s="153">
        <v>5040</v>
      </c>
      <c r="AD110" s="154">
        <v>3000</v>
      </c>
      <c r="AE110" s="151"/>
      <c r="AF110" s="151">
        <v>2000</v>
      </c>
      <c r="AG110" s="155"/>
      <c r="AH110" s="153"/>
      <c r="AI110" s="154"/>
      <c r="AJ110" s="157"/>
      <c r="AK110" s="158">
        <v>1000</v>
      </c>
      <c r="AL110" s="158"/>
      <c r="AM110" s="158"/>
      <c r="AN110" s="159"/>
      <c r="AO110" s="160">
        <f t="shared" si="61"/>
        <v>84050</v>
      </c>
      <c r="AP110" s="161"/>
      <c r="AQ110" s="161">
        <f t="shared" si="62"/>
        <v>0</v>
      </c>
      <c r="AR110" s="161">
        <f t="shared" si="63"/>
        <v>180</v>
      </c>
      <c r="AS110" s="162">
        <v>126765</v>
      </c>
      <c r="AT110" s="163">
        <f t="shared" si="64"/>
        <v>1.5049863469072777</v>
      </c>
      <c r="AU110" s="164">
        <v>960</v>
      </c>
      <c r="AV110" s="165">
        <v>7920</v>
      </c>
      <c r="AW110" s="152">
        <v>90</v>
      </c>
      <c r="AX110" s="156">
        <v>6150</v>
      </c>
      <c r="AY110" s="156">
        <v>650</v>
      </c>
      <c r="AZ110" s="156">
        <v>220</v>
      </c>
      <c r="BA110" s="166">
        <v>160</v>
      </c>
      <c r="BB110" s="167">
        <f t="shared" si="65"/>
        <v>16150</v>
      </c>
      <c r="BC110" s="168"/>
      <c r="BD110" s="167">
        <f t="shared" si="66"/>
        <v>0</v>
      </c>
      <c r="BE110" s="169"/>
      <c r="BF110" s="170">
        <v>1000</v>
      </c>
      <c r="BG110" s="171">
        <v>3000</v>
      </c>
      <c r="BH110" s="171">
        <v>1500</v>
      </c>
      <c r="BI110" s="172"/>
      <c r="BJ110" s="173">
        <f t="shared" si="67"/>
        <v>5500</v>
      </c>
      <c r="BK110" s="169"/>
      <c r="BL110" s="171">
        <v>1600</v>
      </c>
      <c r="BM110" s="171">
        <v>5600</v>
      </c>
      <c r="BN110" s="171">
        <v>4000</v>
      </c>
      <c r="BO110" s="171"/>
      <c r="BP110" s="174"/>
      <c r="BQ110" s="172"/>
      <c r="BR110" s="175">
        <f t="shared" si="68"/>
        <v>11200</v>
      </c>
      <c r="BS110" s="164"/>
      <c r="BT110" s="165"/>
      <c r="BU110" s="165"/>
      <c r="BV110" s="246"/>
      <c r="BW110" s="246"/>
      <c r="BX110" s="246">
        <v>540</v>
      </c>
      <c r="BY110" s="247">
        <v>480</v>
      </c>
      <c r="BZ110" s="247"/>
      <c r="CA110" s="152">
        <v>100</v>
      </c>
      <c r="CB110" s="152">
        <v>100</v>
      </c>
      <c r="CC110" s="165">
        <v>20</v>
      </c>
      <c r="CD110" s="152"/>
      <c r="CE110" s="165"/>
      <c r="CF110" s="152"/>
      <c r="CG110" s="152"/>
      <c r="CH110" s="247">
        <v>20</v>
      </c>
      <c r="CI110" s="247">
        <v>40</v>
      </c>
      <c r="CJ110" s="247"/>
      <c r="CK110" s="152">
        <v>580</v>
      </c>
      <c r="CL110" s="166">
        <v>60</v>
      </c>
      <c r="CM110" s="176">
        <f t="shared" si="69"/>
        <v>1940</v>
      </c>
      <c r="CN110" s="177"/>
      <c r="CO110" s="152"/>
      <c r="CP110" s="152">
        <v>20</v>
      </c>
      <c r="CQ110" s="152"/>
      <c r="CR110" s="152">
        <v>10</v>
      </c>
      <c r="CS110" s="152">
        <v>10</v>
      </c>
      <c r="CT110" s="152"/>
      <c r="CU110" s="152"/>
      <c r="CV110" s="152"/>
      <c r="CW110" s="152">
        <v>10</v>
      </c>
      <c r="CX110" s="152">
        <v>5</v>
      </c>
      <c r="CY110" s="152">
        <v>10</v>
      </c>
      <c r="CZ110" s="166"/>
      <c r="DA110" s="175">
        <f t="shared" si="70"/>
        <v>65</v>
      </c>
      <c r="DB110" s="186">
        <f t="shared" si="71"/>
        <v>1740</v>
      </c>
      <c r="DC110" s="187">
        <f t="shared" si="72"/>
        <v>200</v>
      </c>
      <c r="DD110" s="187">
        <f t="shared" si="73"/>
        <v>16700</v>
      </c>
      <c r="DE110" s="187">
        <f t="shared" si="74"/>
        <v>88895</v>
      </c>
      <c r="DF110" s="187">
        <f t="shared" si="75"/>
        <v>0</v>
      </c>
      <c r="DG110" s="187">
        <f t="shared" si="76"/>
        <v>180</v>
      </c>
      <c r="DH110" s="187">
        <f t="shared" si="77"/>
        <v>65</v>
      </c>
      <c r="DI110" s="188">
        <v>0</v>
      </c>
      <c r="DJ110" s="188">
        <v>0</v>
      </c>
      <c r="DK110" s="187">
        <f t="shared" si="78"/>
        <v>0</v>
      </c>
      <c r="DL110" s="189">
        <v>0</v>
      </c>
      <c r="DM110" s="190">
        <f t="shared" si="79"/>
        <v>0.15847095936166264</v>
      </c>
      <c r="DN110" s="182"/>
      <c r="DO110" s="183">
        <f t="shared" si="80"/>
        <v>90700</v>
      </c>
      <c r="DP110" s="184">
        <f t="shared" si="81"/>
        <v>17080</v>
      </c>
    </row>
    <row r="111" spans="1:120">
      <c r="A111" s="146"/>
      <c r="B111" s="318">
        <f t="shared" si="82"/>
        <v>45931</v>
      </c>
      <c r="C111" s="150">
        <v>72705</v>
      </c>
      <c r="D111" s="147">
        <v>2000</v>
      </c>
      <c r="E111" s="148"/>
      <c r="F111" s="149"/>
      <c r="G111" s="148"/>
      <c r="H111" s="150"/>
      <c r="I111" s="147"/>
      <c r="J111" s="150"/>
      <c r="K111" s="150"/>
      <c r="L111" s="150">
        <v>8400</v>
      </c>
      <c r="M111" s="147"/>
      <c r="N111" s="151"/>
      <c r="O111" s="149">
        <v>13320</v>
      </c>
      <c r="P111" s="152">
        <v>10825</v>
      </c>
      <c r="Q111" s="152"/>
      <c r="R111" s="151"/>
      <c r="S111" s="152">
        <v>20</v>
      </c>
      <c r="T111" s="151">
        <v>80</v>
      </c>
      <c r="U111" s="153"/>
      <c r="V111" s="154"/>
      <c r="W111" s="155"/>
      <c r="X111" s="156"/>
      <c r="Y111" s="152">
        <v>225</v>
      </c>
      <c r="Z111" s="152"/>
      <c r="AA111" s="153"/>
      <c r="AB111" s="154"/>
      <c r="AC111" s="153">
        <v>8820</v>
      </c>
      <c r="AD111" s="154">
        <v>500</v>
      </c>
      <c r="AE111" s="151"/>
      <c r="AF111" s="151">
        <v>4000</v>
      </c>
      <c r="AG111" s="155"/>
      <c r="AH111" s="153"/>
      <c r="AI111" s="154"/>
      <c r="AJ111" s="157"/>
      <c r="AK111" s="158"/>
      <c r="AL111" s="158"/>
      <c r="AM111" s="158">
        <v>400</v>
      </c>
      <c r="AN111" s="159"/>
      <c r="AO111" s="160">
        <f t="shared" si="61"/>
        <v>120895</v>
      </c>
      <c r="AP111" s="161"/>
      <c r="AQ111" s="161">
        <f t="shared" si="62"/>
        <v>400</v>
      </c>
      <c r="AR111" s="161">
        <f t="shared" si="63"/>
        <v>0</v>
      </c>
      <c r="AS111" s="162">
        <v>134112</v>
      </c>
      <c r="AT111" s="163">
        <f t="shared" si="64"/>
        <v>1.1056679995053382</v>
      </c>
      <c r="AU111" s="164">
        <v>2160</v>
      </c>
      <c r="AV111" s="165">
        <v>10260</v>
      </c>
      <c r="AW111" s="152">
        <v>90</v>
      </c>
      <c r="AX111" s="156">
        <v>8750</v>
      </c>
      <c r="AY111" s="156">
        <v>650</v>
      </c>
      <c r="AZ111" s="156">
        <v>120</v>
      </c>
      <c r="BA111" s="166">
        <v>240</v>
      </c>
      <c r="BB111" s="167">
        <f t="shared" si="65"/>
        <v>22270</v>
      </c>
      <c r="BC111" s="168">
        <v>360</v>
      </c>
      <c r="BD111" s="167">
        <f t="shared" si="66"/>
        <v>360</v>
      </c>
      <c r="BE111" s="169"/>
      <c r="BF111" s="170">
        <v>1000</v>
      </c>
      <c r="BG111" s="171">
        <v>2000</v>
      </c>
      <c r="BH111" s="171">
        <v>750</v>
      </c>
      <c r="BI111" s="172"/>
      <c r="BJ111" s="173">
        <f t="shared" si="67"/>
        <v>3750</v>
      </c>
      <c r="BK111" s="169"/>
      <c r="BL111" s="171">
        <v>800</v>
      </c>
      <c r="BM111" s="171">
        <v>5600</v>
      </c>
      <c r="BN111" s="171">
        <v>6000</v>
      </c>
      <c r="BO111" s="171"/>
      <c r="BP111" s="174"/>
      <c r="BQ111" s="172"/>
      <c r="BR111" s="175">
        <f t="shared" si="68"/>
        <v>12400</v>
      </c>
      <c r="BS111" s="164"/>
      <c r="BT111" s="165"/>
      <c r="BU111" s="165"/>
      <c r="BV111" s="246"/>
      <c r="BW111" s="246"/>
      <c r="BX111" s="246">
        <v>460</v>
      </c>
      <c r="BY111" s="247">
        <v>660</v>
      </c>
      <c r="BZ111" s="247"/>
      <c r="CA111" s="152">
        <v>100</v>
      </c>
      <c r="CB111" s="152">
        <v>100</v>
      </c>
      <c r="CC111" s="165">
        <v>50</v>
      </c>
      <c r="CD111" s="152"/>
      <c r="CE111" s="165"/>
      <c r="CF111" s="152"/>
      <c r="CG111" s="152"/>
      <c r="CH111" s="247">
        <v>180</v>
      </c>
      <c r="CI111" s="247">
        <v>100</v>
      </c>
      <c r="CJ111" s="247"/>
      <c r="CK111" s="152">
        <v>540</v>
      </c>
      <c r="CL111" s="166">
        <v>240</v>
      </c>
      <c r="CM111" s="176">
        <f t="shared" si="69"/>
        <v>2430</v>
      </c>
      <c r="CN111" s="177"/>
      <c r="CO111" s="152"/>
      <c r="CP111" s="152"/>
      <c r="CQ111" s="152">
        <v>75</v>
      </c>
      <c r="CR111" s="152">
        <v>145</v>
      </c>
      <c r="CS111" s="152">
        <v>245</v>
      </c>
      <c r="CT111" s="152">
        <v>160</v>
      </c>
      <c r="CU111" s="152">
        <v>100</v>
      </c>
      <c r="CV111" s="152">
        <v>5</v>
      </c>
      <c r="CW111" s="152"/>
      <c r="CX111" s="152"/>
      <c r="CY111" s="152"/>
      <c r="CZ111" s="166">
        <v>120</v>
      </c>
      <c r="DA111" s="175">
        <f t="shared" si="70"/>
        <v>850</v>
      </c>
      <c r="DB111" s="178">
        <f t="shared" si="71"/>
        <v>2230</v>
      </c>
      <c r="DC111" s="155">
        <f t="shared" si="72"/>
        <v>200</v>
      </c>
      <c r="DD111" s="155">
        <f t="shared" si="73"/>
        <v>16150</v>
      </c>
      <c r="DE111" s="155">
        <f t="shared" si="74"/>
        <v>127576</v>
      </c>
      <c r="DF111" s="155">
        <f t="shared" si="75"/>
        <v>0</v>
      </c>
      <c r="DG111" s="155">
        <f t="shared" si="76"/>
        <v>0</v>
      </c>
      <c r="DH111" s="155">
        <f t="shared" si="77"/>
        <v>850</v>
      </c>
      <c r="DI111" s="179">
        <v>0</v>
      </c>
      <c r="DJ111" s="179">
        <v>0</v>
      </c>
      <c r="DK111" s="155">
        <f t="shared" si="78"/>
        <v>508</v>
      </c>
      <c r="DL111" s="180">
        <v>0</v>
      </c>
      <c r="DM111" s="181">
        <f t="shared" si="79"/>
        <v>0.11428067844407988</v>
      </c>
      <c r="DN111" s="182"/>
      <c r="DO111" s="183">
        <f t="shared" si="80"/>
        <v>130656</v>
      </c>
      <c r="DP111" s="184">
        <f t="shared" si="81"/>
        <v>16858</v>
      </c>
    </row>
    <row r="112" spans="1:120">
      <c r="A112" s="146"/>
      <c r="B112" s="318">
        <f t="shared" si="82"/>
        <v>45962</v>
      </c>
      <c r="C112" s="150">
        <v>60120</v>
      </c>
      <c r="D112" s="147">
        <v>2500</v>
      </c>
      <c r="E112" s="148"/>
      <c r="F112" s="149"/>
      <c r="G112" s="148"/>
      <c r="H112" s="150"/>
      <c r="I112" s="147"/>
      <c r="J112" s="150"/>
      <c r="K112" s="150"/>
      <c r="L112" s="150">
        <v>7650</v>
      </c>
      <c r="M112" s="147"/>
      <c r="N112" s="151"/>
      <c r="O112" s="149">
        <v>10620</v>
      </c>
      <c r="P112" s="152">
        <v>4775</v>
      </c>
      <c r="Q112" s="152"/>
      <c r="R112" s="151"/>
      <c r="S112" s="152"/>
      <c r="T112" s="151">
        <v>200</v>
      </c>
      <c r="U112" s="153"/>
      <c r="V112" s="154"/>
      <c r="W112" s="155"/>
      <c r="X112" s="156"/>
      <c r="Y112" s="152">
        <v>100</v>
      </c>
      <c r="Z112" s="152"/>
      <c r="AA112" s="153"/>
      <c r="AB112" s="154"/>
      <c r="AC112" s="153">
        <v>3780</v>
      </c>
      <c r="AD112" s="154">
        <v>1000</v>
      </c>
      <c r="AE112" s="151"/>
      <c r="AF112" s="151">
        <v>4000</v>
      </c>
      <c r="AG112" s="155"/>
      <c r="AH112" s="153"/>
      <c r="AI112" s="154"/>
      <c r="AJ112" s="157"/>
      <c r="AK112" s="158"/>
      <c r="AL112" s="158"/>
      <c r="AM112" s="158"/>
      <c r="AN112" s="159"/>
      <c r="AO112" s="160">
        <f t="shared" si="61"/>
        <v>94745</v>
      </c>
      <c r="AP112" s="161"/>
      <c r="AQ112" s="161">
        <f t="shared" si="62"/>
        <v>0</v>
      </c>
      <c r="AR112" s="161">
        <f t="shared" si="63"/>
        <v>0</v>
      </c>
      <c r="AS112" s="162">
        <v>120116</v>
      </c>
      <c r="AT112" s="163">
        <f t="shared" si="64"/>
        <v>1.267781940999525</v>
      </c>
      <c r="AU112" s="164">
        <v>5400</v>
      </c>
      <c r="AV112" s="165">
        <v>9720</v>
      </c>
      <c r="AW112" s="152"/>
      <c r="AX112" s="156">
        <v>6450</v>
      </c>
      <c r="AY112" s="156">
        <v>500</v>
      </c>
      <c r="AZ112" s="156">
        <v>300</v>
      </c>
      <c r="BA112" s="166">
        <v>480</v>
      </c>
      <c r="BB112" s="167">
        <f t="shared" si="65"/>
        <v>22850</v>
      </c>
      <c r="BC112" s="168"/>
      <c r="BD112" s="167">
        <f t="shared" si="66"/>
        <v>0</v>
      </c>
      <c r="BE112" s="169"/>
      <c r="BF112" s="170">
        <v>1000</v>
      </c>
      <c r="BG112" s="171">
        <v>1000</v>
      </c>
      <c r="BH112" s="171">
        <v>1500</v>
      </c>
      <c r="BI112" s="172"/>
      <c r="BJ112" s="173">
        <f t="shared" si="67"/>
        <v>3500</v>
      </c>
      <c r="BK112" s="169"/>
      <c r="BL112" s="171">
        <v>2400</v>
      </c>
      <c r="BM112" s="171">
        <v>4800</v>
      </c>
      <c r="BN112" s="171">
        <v>3000</v>
      </c>
      <c r="BO112" s="171"/>
      <c r="BP112" s="174"/>
      <c r="BQ112" s="172"/>
      <c r="BR112" s="175">
        <f t="shared" si="68"/>
        <v>10200</v>
      </c>
      <c r="BS112" s="164"/>
      <c r="BT112" s="165"/>
      <c r="BU112" s="165"/>
      <c r="BV112" s="246"/>
      <c r="BW112" s="246"/>
      <c r="BX112" s="246">
        <v>400</v>
      </c>
      <c r="BY112" s="247">
        <v>500</v>
      </c>
      <c r="BZ112" s="247"/>
      <c r="CA112" s="152">
        <v>100</v>
      </c>
      <c r="CB112" s="152">
        <v>100</v>
      </c>
      <c r="CC112" s="165"/>
      <c r="CD112" s="152"/>
      <c r="CE112" s="165"/>
      <c r="CF112" s="152"/>
      <c r="CG112" s="152"/>
      <c r="CH112" s="247"/>
      <c r="CI112" s="247"/>
      <c r="CJ112" s="247"/>
      <c r="CK112" s="152">
        <v>520</v>
      </c>
      <c r="CL112" s="166">
        <v>40</v>
      </c>
      <c r="CM112" s="176">
        <f t="shared" si="69"/>
        <v>1660</v>
      </c>
      <c r="CN112" s="177"/>
      <c r="CO112" s="152"/>
      <c r="CP112" s="152">
        <v>25</v>
      </c>
      <c r="CQ112" s="152">
        <v>50</v>
      </c>
      <c r="CR112" s="152">
        <v>5</v>
      </c>
      <c r="CS112" s="152">
        <v>5</v>
      </c>
      <c r="CT112" s="152">
        <v>15</v>
      </c>
      <c r="CU112" s="152">
        <v>75</v>
      </c>
      <c r="CV112" s="152"/>
      <c r="CW112" s="152"/>
      <c r="CX112" s="152"/>
      <c r="CY112" s="152"/>
      <c r="CZ112" s="166"/>
      <c r="DA112" s="175">
        <f t="shared" si="70"/>
        <v>175</v>
      </c>
      <c r="DB112" s="186">
        <f t="shared" si="71"/>
        <v>1460</v>
      </c>
      <c r="DC112" s="187">
        <f t="shared" si="72"/>
        <v>200</v>
      </c>
      <c r="DD112" s="187">
        <f t="shared" si="73"/>
        <v>13700</v>
      </c>
      <c r="DE112" s="187">
        <f t="shared" si="74"/>
        <v>101600</v>
      </c>
      <c r="DF112" s="187">
        <f t="shared" si="75"/>
        <v>0</v>
      </c>
      <c r="DG112" s="187">
        <f t="shared" si="76"/>
        <v>0</v>
      </c>
      <c r="DH112" s="187">
        <f t="shared" si="77"/>
        <v>175</v>
      </c>
      <c r="DI112" s="188">
        <v>0</v>
      </c>
      <c r="DJ112" s="188">
        <v>0</v>
      </c>
      <c r="DK112" s="187">
        <f t="shared" si="78"/>
        <v>0</v>
      </c>
      <c r="DL112" s="189">
        <v>0</v>
      </c>
      <c r="DM112" s="190">
        <f t="shared" si="79"/>
        <v>0.11866649592350706</v>
      </c>
      <c r="DN112" s="182"/>
      <c r="DO112" s="183">
        <f t="shared" si="80"/>
        <v>103235</v>
      </c>
      <c r="DP112" s="184">
        <f t="shared" si="81"/>
        <v>13900</v>
      </c>
    </row>
    <row r="113" spans="1:120">
      <c r="A113" s="146"/>
      <c r="B113" s="318">
        <f t="shared" si="82"/>
        <v>45992</v>
      </c>
      <c r="C113" s="150">
        <v>58860</v>
      </c>
      <c r="D113" s="147">
        <v>1500</v>
      </c>
      <c r="E113" s="148"/>
      <c r="F113" s="149"/>
      <c r="G113" s="148"/>
      <c r="H113" s="150"/>
      <c r="I113" s="147"/>
      <c r="J113" s="150"/>
      <c r="K113" s="150"/>
      <c r="L113" s="150">
        <v>8950</v>
      </c>
      <c r="M113" s="147"/>
      <c r="N113" s="151"/>
      <c r="O113" s="149">
        <v>8820</v>
      </c>
      <c r="P113" s="152">
        <v>6500</v>
      </c>
      <c r="Q113" s="152"/>
      <c r="R113" s="151"/>
      <c r="S113" s="152">
        <v>10</v>
      </c>
      <c r="T113" s="151"/>
      <c r="U113" s="153"/>
      <c r="V113" s="154"/>
      <c r="W113" s="155"/>
      <c r="X113" s="156"/>
      <c r="Y113" s="152">
        <v>2225</v>
      </c>
      <c r="Z113" s="152"/>
      <c r="AA113" s="153"/>
      <c r="AB113" s="154"/>
      <c r="AC113" s="153">
        <v>7560</v>
      </c>
      <c r="AD113" s="154"/>
      <c r="AE113" s="151"/>
      <c r="AF113" s="151">
        <v>2000</v>
      </c>
      <c r="AG113" s="155"/>
      <c r="AH113" s="153"/>
      <c r="AI113" s="154"/>
      <c r="AJ113" s="157"/>
      <c r="AK113" s="158"/>
      <c r="AL113" s="158"/>
      <c r="AM113" s="158"/>
      <c r="AN113" s="159"/>
      <c r="AO113" s="160">
        <f t="shared" si="61"/>
        <v>96425</v>
      </c>
      <c r="AP113" s="161"/>
      <c r="AQ113" s="161">
        <f t="shared" si="62"/>
        <v>0</v>
      </c>
      <c r="AR113" s="161">
        <f t="shared" si="63"/>
        <v>0</v>
      </c>
      <c r="AS113" s="162">
        <v>124398</v>
      </c>
      <c r="AT113" s="163">
        <f t="shared" si="64"/>
        <v>1.2901011148561057</v>
      </c>
      <c r="AU113" s="164">
        <v>1800</v>
      </c>
      <c r="AV113" s="165">
        <v>10440</v>
      </c>
      <c r="AW113" s="152">
        <v>150</v>
      </c>
      <c r="AX113" s="156">
        <v>9550</v>
      </c>
      <c r="AY113" s="156">
        <v>850</v>
      </c>
      <c r="AZ113" s="156">
        <v>100</v>
      </c>
      <c r="BA113" s="166">
        <v>200</v>
      </c>
      <c r="BB113" s="167">
        <f t="shared" si="65"/>
        <v>23090</v>
      </c>
      <c r="BC113" s="168"/>
      <c r="BD113" s="167">
        <f t="shared" si="66"/>
        <v>0</v>
      </c>
      <c r="BE113" s="169"/>
      <c r="BF113" s="170">
        <v>1000</v>
      </c>
      <c r="BG113" s="171">
        <v>1000</v>
      </c>
      <c r="BH113" s="171"/>
      <c r="BI113" s="172"/>
      <c r="BJ113" s="173">
        <f t="shared" si="67"/>
        <v>2000</v>
      </c>
      <c r="BK113" s="169"/>
      <c r="BL113" s="171">
        <v>1600</v>
      </c>
      <c r="BM113" s="171">
        <v>1600</v>
      </c>
      <c r="BN113" s="171">
        <v>4000</v>
      </c>
      <c r="BO113" s="171"/>
      <c r="BP113" s="174"/>
      <c r="BQ113" s="172"/>
      <c r="BR113" s="175">
        <f t="shared" si="68"/>
        <v>7200</v>
      </c>
      <c r="BS113" s="164"/>
      <c r="BT113" s="165"/>
      <c r="BU113" s="165"/>
      <c r="BV113" s="246"/>
      <c r="BW113" s="246"/>
      <c r="BX113" s="246">
        <v>560</v>
      </c>
      <c r="BY113" s="247">
        <v>700</v>
      </c>
      <c r="BZ113" s="247">
        <v>60</v>
      </c>
      <c r="CA113" s="152">
        <v>100</v>
      </c>
      <c r="CB113" s="152">
        <v>100</v>
      </c>
      <c r="CC113" s="165">
        <v>70</v>
      </c>
      <c r="CD113" s="152">
        <v>40</v>
      </c>
      <c r="CE113" s="165"/>
      <c r="CF113" s="152"/>
      <c r="CG113" s="152"/>
      <c r="CH113" s="247">
        <v>80</v>
      </c>
      <c r="CI113" s="247"/>
      <c r="CJ113" s="247"/>
      <c r="CK113" s="152">
        <v>380</v>
      </c>
      <c r="CL113" s="166">
        <v>100</v>
      </c>
      <c r="CM113" s="176">
        <f t="shared" si="69"/>
        <v>2190</v>
      </c>
      <c r="CN113" s="177"/>
      <c r="CO113" s="152"/>
      <c r="CP113" s="152">
        <v>50</v>
      </c>
      <c r="CQ113" s="152"/>
      <c r="CR113" s="152"/>
      <c r="CS113" s="152"/>
      <c r="CT113" s="152"/>
      <c r="CU113" s="152">
        <v>100</v>
      </c>
      <c r="CV113" s="152"/>
      <c r="CW113" s="152"/>
      <c r="CX113" s="152"/>
      <c r="CY113" s="152"/>
      <c r="CZ113" s="166"/>
      <c r="DA113" s="175">
        <f t="shared" si="70"/>
        <v>150</v>
      </c>
      <c r="DB113" s="178">
        <f t="shared" si="71"/>
        <v>1990</v>
      </c>
      <c r="DC113" s="155">
        <f t="shared" si="72"/>
        <v>200</v>
      </c>
      <c r="DD113" s="155">
        <f t="shared" si="73"/>
        <v>9200</v>
      </c>
      <c r="DE113" s="155">
        <f t="shared" si="74"/>
        <v>103352</v>
      </c>
      <c r="DF113" s="155">
        <f t="shared" si="75"/>
        <v>0</v>
      </c>
      <c r="DG113" s="155">
        <f t="shared" si="76"/>
        <v>0</v>
      </c>
      <c r="DH113" s="155">
        <f t="shared" si="77"/>
        <v>150</v>
      </c>
      <c r="DI113" s="179">
        <v>0</v>
      </c>
      <c r="DJ113" s="179">
        <v>0</v>
      </c>
      <c r="DK113" s="155">
        <f t="shared" si="78"/>
        <v>0</v>
      </c>
      <c r="DL113" s="180">
        <v>0</v>
      </c>
      <c r="DM113" s="181">
        <f t="shared" si="79"/>
        <v>8.1815966298784945E-2</v>
      </c>
      <c r="DN113" s="182"/>
      <c r="DO113" s="183">
        <f t="shared" si="80"/>
        <v>105492</v>
      </c>
      <c r="DP113" s="184">
        <f t="shared" si="81"/>
        <v>9400</v>
      </c>
    </row>
    <row r="114" spans="1:120">
      <c r="A114" s="146"/>
      <c r="B114" s="318">
        <f t="shared" si="82"/>
        <v>46023</v>
      </c>
      <c r="C114" s="150">
        <v>53460</v>
      </c>
      <c r="D114" s="147">
        <v>1500</v>
      </c>
      <c r="E114" s="148"/>
      <c r="F114" s="149"/>
      <c r="G114" s="148"/>
      <c r="H114" s="150"/>
      <c r="I114" s="147"/>
      <c r="J114" s="150"/>
      <c r="K114" s="150"/>
      <c r="L114" s="150">
        <v>8400</v>
      </c>
      <c r="M114" s="147"/>
      <c r="N114" s="151"/>
      <c r="O114" s="149">
        <v>6300</v>
      </c>
      <c r="P114" s="152">
        <v>7475</v>
      </c>
      <c r="Q114" s="152"/>
      <c r="R114" s="151"/>
      <c r="S114" s="152"/>
      <c r="T114" s="151">
        <v>60</v>
      </c>
      <c r="U114" s="153"/>
      <c r="V114" s="154"/>
      <c r="W114" s="155"/>
      <c r="X114" s="156"/>
      <c r="Y114" s="152">
        <v>62.5</v>
      </c>
      <c r="Z114" s="152"/>
      <c r="AA114" s="153"/>
      <c r="AB114" s="154"/>
      <c r="AC114" s="153">
        <v>3780</v>
      </c>
      <c r="AD114" s="154">
        <v>1000</v>
      </c>
      <c r="AE114" s="151"/>
      <c r="AF114" s="151"/>
      <c r="AG114" s="155"/>
      <c r="AH114" s="153"/>
      <c r="AI114" s="154"/>
      <c r="AJ114" s="157"/>
      <c r="AK114" s="158"/>
      <c r="AL114" s="158"/>
      <c r="AM114" s="158">
        <v>600</v>
      </c>
      <c r="AN114" s="159"/>
      <c r="AO114" s="160">
        <f t="shared" si="61"/>
        <v>82037.5</v>
      </c>
      <c r="AP114" s="161"/>
      <c r="AQ114" s="161">
        <f t="shared" si="62"/>
        <v>600</v>
      </c>
      <c r="AR114" s="161">
        <f t="shared" si="63"/>
        <v>0</v>
      </c>
      <c r="AS114" s="162">
        <v>119193</v>
      </c>
      <c r="AT114" s="163">
        <f t="shared" si="64"/>
        <v>1.4423597035244289</v>
      </c>
      <c r="AU114" s="164">
        <v>900</v>
      </c>
      <c r="AV114" s="165">
        <v>8280</v>
      </c>
      <c r="AW114" s="152">
        <v>210</v>
      </c>
      <c r="AX114" s="156">
        <v>3500</v>
      </c>
      <c r="AY114" s="156">
        <v>900</v>
      </c>
      <c r="AZ114" s="156"/>
      <c r="BA114" s="166"/>
      <c r="BB114" s="167">
        <f t="shared" si="65"/>
        <v>13790</v>
      </c>
      <c r="BC114" s="168">
        <v>360</v>
      </c>
      <c r="BD114" s="167">
        <f t="shared" si="66"/>
        <v>360</v>
      </c>
      <c r="BE114" s="169"/>
      <c r="BF114" s="170">
        <v>1000</v>
      </c>
      <c r="BG114" s="171"/>
      <c r="BH114" s="171">
        <v>2250</v>
      </c>
      <c r="BI114" s="172"/>
      <c r="BJ114" s="173">
        <f t="shared" si="67"/>
        <v>3250</v>
      </c>
      <c r="BK114" s="169"/>
      <c r="BL114" s="171">
        <v>800</v>
      </c>
      <c r="BM114" s="171">
        <v>6400</v>
      </c>
      <c r="BN114" s="171">
        <v>1000</v>
      </c>
      <c r="BO114" s="171"/>
      <c r="BP114" s="174"/>
      <c r="BQ114" s="172"/>
      <c r="BR114" s="175">
        <f t="shared" si="68"/>
        <v>8200</v>
      </c>
      <c r="BS114" s="164"/>
      <c r="BT114" s="165"/>
      <c r="BU114" s="165"/>
      <c r="BV114" s="246"/>
      <c r="BW114" s="246"/>
      <c r="BX114" s="246">
        <v>340</v>
      </c>
      <c r="BY114" s="247">
        <v>380</v>
      </c>
      <c r="BZ114" s="247"/>
      <c r="CA114" s="152">
        <v>100</v>
      </c>
      <c r="CB114" s="152">
        <v>100</v>
      </c>
      <c r="CC114" s="165"/>
      <c r="CD114" s="152"/>
      <c r="CE114" s="165"/>
      <c r="CF114" s="152"/>
      <c r="CG114" s="152"/>
      <c r="CH114" s="247">
        <v>100</v>
      </c>
      <c r="CI114" s="247">
        <v>60</v>
      </c>
      <c r="CJ114" s="247"/>
      <c r="CK114" s="152">
        <v>680</v>
      </c>
      <c r="CL114" s="166">
        <v>160</v>
      </c>
      <c r="CM114" s="176">
        <f t="shared" si="69"/>
        <v>1920</v>
      </c>
      <c r="CN114" s="177"/>
      <c r="CO114" s="152"/>
      <c r="CP114" s="152">
        <v>40</v>
      </c>
      <c r="CQ114" s="152">
        <v>40</v>
      </c>
      <c r="CR114" s="152"/>
      <c r="CS114" s="152"/>
      <c r="CT114" s="152"/>
      <c r="CU114" s="152"/>
      <c r="CV114" s="152">
        <v>10</v>
      </c>
      <c r="CW114" s="152">
        <v>20</v>
      </c>
      <c r="CX114" s="152">
        <v>20</v>
      </c>
      <c r="CY114" s="152">
        <v>20</v>
      </c>
      <c r="CZ114" s="166"/>
      <c r="DA114" s="175">
        <f t="shared" si="70"/>
        <v>150</v>
      </c>
      <c r="DB114" s="178">
        <f t="shared" si="71"/>
        <v>1720</v>
      </c>
      <c r="DC114" s="155">
        <f t="shared" si="72"/>
        <v>200</v>
      </c>
      <c r="DD114" s="155">
        <f t="shared" si="73"/>
        <v>11450</v>
      </c>
      <c r="DE114" s="155">
        <f t="shared" si="74"/>
        <v>86174.5</v>
      </c>
      <c r="DF114" s="155">
        <f t="shared" si="75"/>
        <v>0</v>
      </c>
      <c r="DG114" s="155">
        <f t="shared" si="76"/>
        <v>0</v>
      </c>
      <c r="DH114" s="155">
        <f t="shared" si="77"/>
        <v>150</v>
      </c>
      <c r="DI114" s="179">
        <v>0</v>
      </c>
      <c r="DJ114" s="179">
        <v>0</v>
      </c>
      <c r="DK114" s="155">
        <f t="shared" si="78"/>
        <v>708</v>
      </c>
      <c r="DL114" s="180">
        <v>0</v>
      </c>
      <c r="DM114" s="181">
        <f t="shared" si="79"/>
        <v>0.12308458454719753</v>
      </c>
      <c r="DN114" s="182"/>
      <c r="DO114" s="183">
        <f t="shared" si="80"/>
        <v>88044.5</v>
      </c>
      <c r="DP114" s="184">
        <f t="shared" si="81"/>
        <v>12358</v>
      </c>
    </row>
    <row r="115" spans="1:120">
      <c r="A115" s="146"/>
      <c r="B115" s="318">
        <f t="shared" si="82"/>
        <v>46054</v>
      </c>
      <c r="C115" s="150">
        <v>58770</v>
      </c>
      <c r="D115" s="147">
        <v>2000</v>
      </c>
      <c r="E115" s="148"/>
      <c r="F115" s="149"/>
      <c r="G115" s="148"/>
      <c r="H115" s="150"/>
      <c r="I115" s="147"/>
      <c r="J115" s="150"/>
      <c r="K115" s="150"/>
      <c r="L115" s="150">
        <v>4200</v>
      </c>
      <c r="M115" s="147"/>
      <c r="N115" s="151">
        <v>345</v>
      </c>
      <c r="O115" s="149">
        <v>8820</v>
      </c>
      <c r="P115" s="152">
        <v>17925</v>
      </c>
      <c r="Q115" s="152"/>
      <c r="R115" s="151"/>
      <c r="S115" s="152"/>
      <c r="T115" s="151">
        <v>120</v>
      </c>
      <c r="U115" s="153"/>
      <c r="V115" s="154"/>
      <c r="W115" s="155"/>
      <c r="X115" s="156"/>
      <c r="Y115" s="152">
        <v>975</v>
      </c>
      <c r="Z115" s="152"/>
      <c r="AA115" s="153"/>
      <c r="AB115" s="154"/>
      <c r="AC115" s="153">
        <v>3780</v>
      </c>
      <c r="AD115" s="154">
        <v>1000</v>
      </c>
      <c r="AE115" s="151"/>
      <c r="AF115" s="151">
        <v>4000</v>
      </c>
      <c r="AG115" s="155"/>
      <c r="AH115" s="153"/>
      <c r="AI115" s="154"/>
      <c r="AJ115" s="157"/>
      <c r="AK115" s="158"/>
      <c r="AL115" s="158"/>
      <c r="AM115" s="158"/>
      <c r="AN115" s="159"/>
      <c r="AO115" s="160">
        <f t="shared" si="61"/>
        <v>101590</v>
      </c>
      <c r="AP115" s="161"/>
      <c r="AQ115" s="161">
        <f t="shared" si="62"/>
        <v>0</v>
      </c>
      <c r="AR115" s="161">
        <f t="shared" si="63"/>
        <v>345</v>
      </c>
      <c r="AS115" s="162">
        <v>110779</v>
      </c>
      <c r="AT115" s="163">
        <f t="shared" si="64"/>
        <v>1.0867611713346741</v>
      </c>
      <c r="AU115" s="164">
        <v>8100</v>
      </c>
      <c r="AV115" s="165">
        <v>3960</v>
      </c>
      <c r="AW115" s="152">
        <v>180</v>
      </c>
      <c r="AX115" s="156">
        <v>4900</v>
      </c>
      <c r="AY115" s="156">
        <v>350</v>
      </c>
      <c r="AZ115" s="156">
        <v>340</v>
      </c>
      <c r="BA115" s="166">
        <v>600</v>
      </c>
      <c r="BB115" s="167">
        <f t="shared" si="65"/>
        <v>18430</v>
      </c>
      <c r="BC115" s="168"/>
      <c r="BD115" s="167">
        <f t="shared" si="66"/>
        <v>0</v>
      </c>
      <c r="BE115" s="169"/>
      <c r="BF115" s="170">
        <v>1000</v>
      </c>
      <c r="BG115" s="171">
        <v>2000</v>
      </c>
      <c r="BH115" s="171"/>
      <c r="BI115" s="172"/>
      <c r="BJ115" s="173">
        <f t="shared" si="67"/>
        <v>3000</v>
      </c>
      <c r="BK115" s="169"/>
      <c r="BL115" s="171">
        <v>800</v>
      </c>
      <c r="BM115" s="171">
        <v>8000</v>
      </c>
      <c r="BN115" s="171">
        <v>1000</v>
      </c>
      <c r="BO115" s="171"/>
      <c r="BP115" s="174"/>
      <c r="BQ115" s="172"/>
      <c r="BR115" s="175">
        <f t="shared" si="68"/>
        <v>9800</v>
      </c>
      <c r="BS115" s="164"/>
      <c r="BT115" s="165"/>
      <c r="BU115" s="165"/>
      <c r="BV115" s="246"/>
      <c r="BW115" s="246"/>
      <c r="BX115" s="246">
        <v>900</v>
      </c>
      <c r="BY115" s="247">
        <v>760</v>
      </c>
      <c r="BZ115" s="247"/>
      <c r="CA115" s="152">
        <v>100</v>
      </c>
      <c r="CB115" s="152">
        <v>100</v>
      </c>
      <c r="CC115" s="165">
        <v>40</v>
      </c>
      <c r="CD115" s="152">
        <v>40</v>
      </c>
      <c r="CE115" s="165"/>
      <c r="CF115" s="152"/>
      <c r="CG115" s="152"/>
      <c r="CH115" s="247"/>
      <c r="CI115" s="247"/>
      <c r="CJ115" s="247"/>
      <c r="CK115" s="152">
        <v>1180</v>
      </c>
      <c r="CL115" s="166"/>
      <c r="CM115" s="176">
        <f t="shared" si="69"/>
        <v>3120</v>
      </c>
      <c r="CN115" s="177"/>
      <c r="CO115" s="152"/>
      <c r="CP115" s="152"/>
      <c r="CQ115" s="152">
        <v>50</v>
      </c>
      <c r="CR115" s="152"/>
      <c r="CS115" s="152"/>
      <c r="CT115" s="152">
        <v>15</v>
      </c>
      <c r="CU115" s="152"/>
      <c r="CV115" s="152">
        <v>15</v>
      </c>
      <c r="CW115" s="152">
        <v>45</v>
      </c>
      <c r="CX115" s="152"/>
      <c r="CY115" s="152"/>
      <c r="CZ115" s="166"/>
      <c r="DA115" s="175">
        <f t="shared" si="70"/>
        <v>125</v>
      </c>
      <c r="DB115" s="178">
        <f t="shared" si="71"/>
        <v>2920</v>
      </c>
      <c r="DC115" s="155">
        <f t="shared" si="72"/>
        <v>200</v>
      </c>
      <c r="DD115" s="155">
        <f t="shared" si="73"/>
        <v>12800</v>
      </c>
      <c r="DE115" s="155">
        <f t="shared" si="74"/>
        <v>107119</v>
      </c>
      <c r="DF115" s="155">
        <f t="shared" si="75"/>
        <v>0</v>
      </c>
      <c r="DG115" s="155">
        <f t="shared" si="76"/>
        <v>345</v>
      </c>
      <c r="DH115" s="155">
        <f t="shared" si="77"/>
        <v>125</v>
      </c>
      <c r="DI115" s="179">
        <v>0</v>
      </c>
      <c r="DJ115" s="179">
        <v>0</v>
      </c>
      <c r="DK115" s="155">
        <f t="shared" si="78"/>
        <v>0</v>
      </c>
      <c r="DL115" s="180">
        <v>0</v>
      </c>
      <c r="DM115" s="181">
        <f t="shared" si="79"/>
        <v>0.10804880615987499</v>
      </c>
      <c r="DN115" s="182"/>
      <c r="DO115" s="183">
        <f t="shared" si="80"/>
        <v>110164</v>
      </c>
      <c r="DP115" s="184">
        <f t="shared" si="81"/>
        <v>13345</v>
      </c>
    </row>
    <row r="116" spans="1:120" ht="16.5" thickBot="1">
      <c r="A116" s="185"/>
      <c r="B116" s="319">
        <f t="shared" si="82"/>
        <v>46082</v>
      </c>
      <c r="C116" s="204">
        <v>46170</v>
      </c>
      <c r="D116" s="201">
        <v>2000</v>
      </c>
      <c r="E116" s="202"/>
      <c r="F116" s="203"/>
      <c r="G116" s="202"/>
      <c r="H116" s="204"/>
      <c r="I116" s="201"/>
      <c r="J116" s="204"/>
      <c r="K116" s="204"/>
      <c r="L116" s="204">
        <v>5400</v>
      </c>
      <c r="M116" s="201"/>
      <c r="N116" s="205"/>
      <c r="O116" s="203">
        <v>6300</v>
      </c>
      <c r="P116" s="206">
        <v>12125</v>
      </c>
      <c r="Q116" s="206"/>
      <c r="R116" s="205"/>
      <c r="S116" s="206">
        <v>20</v>
      </c>
      <c r="T116" s="205">
        <v>100</v>
      </c>
      <c r="U116" s="207"/>
      <c r="V116" s="208"/>
      <c r="W116" s="209"/>
      <c r="X116" s="210"/>
      <c r="Y116" s="206">
        <v>250</v>
      </c>
      <c r="Z116" s="206"/>
      <c r="AA116" s="207"/>
      <c r="AB116" s="208"/>
      <c r="AC116" s="207">
        <v>3780</v>
      </c>
      <c r="AD116" s="208">
        <v>1000</v>
      </c>
      <c r="AE116" s="205"/>
      <c r="AF116" s="205">
        <v>1000</v>
      </c>
      <c r="AG116" s="209"/>
      <c r="AH116" s="207"/>
      <c r="AI116" s="208"/>
      <c r="AJ116" s="211"/>
      <c r="AK116" s="212">
        <v>1000</v>
      </c>
      <c r="AL116" s="212"/>
      <c r="AM116" s="212"/>
      <c r="AN116" s="213"/>
      <c r="AO116" s="214">
        <f t="shared" si="61"/>
        <v>79145</v>
      </c>
      <c r="AP116" s="215"/>
      <c r="AQ116" s="215">
        <f t="shared" si="62"/>
        <v>0</v>
      </c>
      <c r="AR116" s="215">
        <f t="shared" si="63"/>
        <v>0</v>
      </c>
      <c r="AS116" s="216">
        <v>111388</v>
      </c>
      <c r="AT116" s="217">
        <f t="shared" si="64"/>
        <v>1.4073914966201275</v>
      </c>
      <c r="AU116" s="218">
        <v>1320</v>
      </c>
      <c r="AV116" s="219">
        <v>5988</v>
      </c>
      <c r="AW116" s="206"/>
      <c r="AX116" s="210">
        <v>6600</v>
      </c>
      <c r="AY116" s="210">
        <v>1300</v>
      </c>
      <c r="AZ116" s="210">
        <v>260</v>
      </c>
      <c r="BA116" s="220">
        <v>480</v>
      </c>
      <c r="BB116" s="221">
        <f t="shared" si="65"/>
        <v>15948</v>
      </c>
      <c r="BC116" s="222"/>
      <c r="BD116" s="221">
        <f t="shared" si="66"/>
        <v>0</v>
      </c>
      <c r="BE116" s="223"/>
      <c r="BF116" s="224"/>
      <c r="BG116" s="225"/>
      <c r="BH116" s="225">
        <v>2250</v>
      </c>
      <c r="BI116" s="226"/>
      <c r="BJ116" s="227">
        <f t="shared" si="67"/>
        <v>2250</v>
      </c>
      <c r="BK116" s="223"/>
      <c r="BL116" s="225">
        <v>3200</v>
      </c>
      <c r="BM116" s="225"/>
      <c r="BN116" s="225"/>
      <c r="BO116" s="225"/>
      <c r="BP116" s="228"/>
      <c r="BQ116" s="226"/>
      <c r="BR116" s="229">
        <f t="shared" si="68"/>
        <v>3200</v>
      </c>
      <c r="BS116" s="218"/>
      <c r="BT116" s="219"/>
      <c r="BU116" s="219"/>
      <c r="BV116" s="248"/>
      <c r="BW116" s="248"/>
      <c r="BX116" s="248">
        <v>200</v>
      </c>
      <c r="BY116" s="249">
        <v>300</v>
      </c>
      <c r="BZ116" s="249"/>
      <c r="CA116" s="206">
        <v>100</v>
      </c>
      <c r="CB116" s="206">
        <v>100</v>
      </c>
      <c r="CC116" s="219">
        <v>100</v>
      </c>
      <c r="CD116" s="206">
        <v>100</v>
      </c>
      <c r="CE116" s="219">
        <v>100</v>
      </c>
      <c r="CF116" s="206">
        <v>90</v>
      </c>
      <c r="CG116" s="206"/>
      <c r="CH116" s="249"/>
      <c r="CI116" s="249">
        <v>40</v>
      </c>
      <c r="CJ116" s="249"/>
      <c r="CK116" s="206">
        <v>420</v>
      </c>
      <c r="CL116" s="220"/>
      <c r="CM116" s="230">
        <f t="shared" si="69"/>
        <v>1550</v>
      </c>
      <c r="CN116" s="231"/>
      <c r="CO116" s="206"/>
      <c r="CP116" s="206"/>
      <c r="CQ116" s="206">
        <v>50</v>
      </c>
      <c r="CR116" s="206"/>
      <c r="CS116" s="206">
        <v>50</v>
      </c>
      <c r="CT116" s="206">
        <v>50</v>
      </c>
      <c r="CU116" s="206"/>
      <c r="CV116" s="206"/>
      <c r="CW116" s="206"/>
      <c r="CX116" s="206"/>
      <c r="CY116" s="206"/>
      <c r="CZ116" s="220">
        <v>50</v>
      </c>
      <c r="DA116" s="229">
        <f t="shared" si="70"/>
        <v>200</v>
      </c>
      <c r="DB116" s="240">
        <f t="shared" si="71"/>
        <v>1350</v>
      </c>
      <c r="DC116" s="209">
        <f t="shared" si="72"/>
        <v>200</v>
      </c>
      <c r="DD116" s="209">
        <f t="shared" si="73"/>
        <v>5450</v>
      </c>
      <c r="DE116" s="209">
        <f t="shared" si="74"/>
        <v>83929.4</v>
      </c>
      <c r="DF116" s="209">
        <f t="shared" si="75"/>
        <v>0</v>
      </c>
      <c r="DG116" s="209">
        <f t="shared" si="76"/>
        <v>0</v>
      </c>
      <c r="DH116" s="209">
        <f t="shared" si="77"/>
        <v>200</v>
      </c>
      <c r="DI116" s="241">
        <v>0</v>
      </c>
      <c r="DJ116" s="241">
        <v>0</v>
      </c>
      <c r="DK116" s="209">
        <f t="shared" si="78"/>
        <v>0</v>
      </c>
      <c r="DL116" s="242">
        <v>0</v>
      </c>
      <c r="DM116" s="243">
        <f t="shared" si="79"/>
        <v>6.1999749806319372E-2</v>
      </c>
      <c r="DN116" s="237"/>
      <c r="DO116" s="238">
        <f t="shared" si="80"/>
        <v>85479.4</v>
      </c>
      <c r="DP116" s="239">
        <f t="shared" si="81"/>
        <v>5650</v>
      </c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線表</vt:lpstr>
      <vt:lpstr>船種</vt:lpstr>
      <vt:lpstr>溶接材料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2026-05-11T00:26:19Z</dcterms:modified>
</cp:coreProperties>
</file>