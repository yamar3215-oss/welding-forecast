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ORKING\DX_PBL\"/>
    </mc:Choice>
  </mc:AlternateContent>
  <xr:revisionPtr revIDLastSave="0" documentId="13_ncr:1_{6AE10224-B0CB-4520-8113-08D59980B351}" xr6:coauthVersionLast="47" xr6:coauthVersionMax="47" xr10:uidLastSave="{00000000-0000-0000-0000-000000000000}"/>
  <bookViews>
    <workbookView xWindow="0" yWindow="0" windowWidth="23040" windowHeight="13056" firstSheet="3" activeTab="3" xr2:uid="{B8883854-02F8-4880-9993-83880CF4089A}"/>
  </bookViews>
  <sheets>
    <sheet name="溶剤在管理表" sheetId="1" r:id="rId1"/>
    <sheet name="溶剤在管理表 (愛媛)" sheetId="5" r:id="rId2"/>
    <sheet name="溶剤在管理表 (広島)" sheetId="3" r:id="rId3"/>
    <sheet name="在庫評価（製作所、在庫していない溶材削除）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45" i="4" l="1"/>
  <c r="BX59" i="5"/>
  <c r="BW59" i="5"/>
  <c r="BV59" i="5"/>
  <c r="BU59" i="5"/>
  <c r="BT59" i="5"/>
  <c r="BS59" i="5"/>
  <c r="BR59" i="5"/>
  <c r="BQ59" i="5"/>
  <c r="BP59" i="5"/>
  <c r="BO59" i="5"/>
  <c r="BN59" i="5"/>
  <c r="BM59" i="5"/>
  <c r="BL59" i="5"/>
  <c r="BK59" i="5"/>
  <c r="BJ59" i="5"/>
  <c r="BI59" i="5"/>
  <c r="BH59" i="5"/>
  <c r="BG59" i="5"/>
  <c r="BF59" i="5"/>
  <c r="BE59" i="5"/>
  <c r="BD59" i="5"/>
  <c r="BC59" i="5"/>
  <c r="BB59" i="5"/>
  <c r="BA59" i="5"/>
  <c r="AZ59" i="5"/>
  <c r="AY59" i="5"/>
  <c r="AX59" i="5"/>
  <c r="AW59" i="5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F59" i="5"/>
  <c r="E59" i="5"/>
  <c r="D59" i="5"/>
  <c r="K2" i="5"/>
  <c r="N2" i="5" s="1"/>
  <c r="Q2" i="5" s="1"/>
  <c r="T2" i="5" s="1"/>
  <c r="W2" i="5" s="1"/>
  <c r="Z2" i="5" s="1"/>
  <c r="AC2" i="5" s="1"/>
  <c r="AF2" i="5" s="1"/>
  <c r="AI2" i="5" s="1"/>
  <c r="AL2" i="5" s="1"/>
  <c r="AO2" i="5" s="1"/>
  <c r="AR2" i="5" s="1"/>
  <c r="AU2" i="5" s="1"/>
  <c r="AX2" i="5" s="1"/>
  <c r="BA2" i="5" s="1"/>
  <c r="BD2" i="5" s="1"/>
  <c r="BG2" i="5" s="1"/>
  <c r="BJ2" i="5" s="1"/>
  <c r="BM2" i="5" s="1"/>
  <c r="BP2" i="5" s="1"/>
  <c r="BS2" i="5" s="1"/>
  <c r="BV2" i="5" s="1"/>
  <c r="CE45" i="4" l="1"/>
  <c r="CD45" i="4"/>
  <c r="CC45" i="4"/>
  <c r="CA45" i="4"/>
  <c r="BZ45" i="4"/>
  <c r="BY45" i="4"/>
  <c r="BW45" i="4"/>
  <c r="BV45" i="4"/>
  <c r="BU45" i="4"/>
  <c r="BS45" i="4"/>
  <c r="BR45" i="4"/>
  <c r="BQ45" i="4"/>
  <c r="BO45" i="4"/>
  <c r="BN45" i="4"/>
  <c r="BM45" i="4"/>
  <c r="BK45" i="4"/>
  <c r="BJ45" i="4"/>
  <c r="BI45" i="4"/>
  <c r="BG45" i="4"/>
  <c r="BF45" i="4"/>
  <c r="BE45" i="4"/>
  <c r="BC45" i="4"/>
  <c r="BB45" i="4"/>
  <c r="BA45" i="4"/>
  <c r="AY45" i="4"/>
  <c r="AX45" i="4"/>
  <c r="AW45" i="4"/>
  <c r="AU45" i="4"/>
  <c r="AT45" i="4"/>
  <c r="AS45" i="4"/>
  <c r="AQ45" i="4"/>
  <c r="AP45" i="4"/>
  <c r="AO45" i="4"/>
  <c r="AM45" i="4"/>
  <c r="AL45" i="4"/>
  <c r="AK45" i="4"/>
  <c r="AI45" i="4"/>
  <c r="AH45" i="4"/>
  <c r="AG45" i="4"/>
  <c r="AE45" i="4"/>
  <c r="AD45" i="4"/>
  <c r="AC45" i="4"/>
  <c r="AA45" i="4"/>
  <c r="Z45" i="4"/>
  <c r="Y45" i="4"/>
  <c r="W45" i="4"/>
  <c r="V45" i="4"/>
  <c r="S45" i="4"/>
  <c r="R45" i="4"/>
  <c r="Q45" i="4"/>
  <c r="O45" i="4"/>
  <c r="N45" i="4"/>
  <c r="M45" i="4"/>
  <c r="K45" i="4"/>
  <c r="J45" i="4"/>
  <c r="I45" i="4"/>
  <c r="G45" i="4"/>
  <c r="F45" i="4"/>
  <c r="E45" i="4"/>
  <c r="I2" i="4"/>
  <c r="M2" i="4" s="1"/>
  <c r="Q2" i="4" s="1"/>
  <c r="U2" i="4" s="1"/>
  <c r="Y2" i="4" s="1"/>
  <c r="AC2" i="4" s="1"/>
  <c r="AG2" i="4" s="1"/>
  <c r="AK2" i="4" s="1"/>
  <c r="AO2" i="4" s="1"/>
  <c r="AS2" i="4" s="1"/>
  <c r="AW2" i="4" s="1"/>
  <c r="BA2" i="4" s="1"/>
  <c r="BE2" i="4" s="1"/>
  <c r="BI2" i="4" s="1"/>
  <c r="BM2" i="4" s="1"/>
  <c r="BQ2" i="4" s="1"/>
  <c r="BU2" i="4" s="1"/>
  <c r="BY2" i="4" s="1"/>
  <c r="CC2" i="4" s="1"/>
  <c r="BW24" i="3"/>
  <c r="BV24" i="3"/>
  <c r="BU24" i="3"/>
  <c r="BU2" i="3"/>
  <c r="BT24" i="3"/>
  <c r="BS24" i="3"/>
  <c r="BR24" i="3"/>
  <c r="BQ24" i="3" l="1"/>
  <c r="BP24" i="3"/>
  <c r="BO24" i="3"/>
  <c r="BC3" i="3"/>
  <c r="BN24" i="3"/>
  <c r="BM24" i="3"/>
  <c r="BL24" i="3"/>
  <c r="BK24" i="3"/>
  <c r="BJ24" i="3"/>
  <c r="BI24" i="3"/>
  <c r="BF24" i="3"/>
  <c r="BH24" i="3" l="1"/>
  <c r="BG24" i="3"/>
  <c r="BE24" i="3"/>
  <c r="BD24" i="3"/>
  <c r="BC24" i="3"/>
  <c r="AT24" i="3"/>
  <c r="BB24" i="3" l="1"/>
  <c r="BA24" i="3"/>
  <c r="AZ24" i="3"/>
  <c r="AY24" i="3"/>
  <c r="AX24" i="3"/>
  <c r="AW24" i="3"/>
  <c r="AV24" i="3"/>
  <c r="AU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J2" i="3"/>
  <c r="M2" i="3" s="1"/>
  <c r="P2" i="3" s="1"/>
  <c r="S2" i="3" s="1"/>
  <c r="V2" i="3" s="1"/>
  <c r="Y2" i="3" s="1"/>
  <c r="AB2" i="3" s="1"/>
  <c r="AE2" i="3" s="1"/>
  <c r="AH2" i="3" s="1"/>
  <c r="AK2" i="3" s="1"/>
  <c r="AN2" i="3" s="1"/>
  <c r="AQ2" i="3" s="1"/>
  <c r="AT2" i="3" s="1"/>
  <c r="AW2" i="3" s="1"/>
  <c r="AZ2" i="3" s="1"/>
  <c r="BC2" i="3" l="1"/>
  <c r="BF2" i="3" s="1"/>
  <c r="BI2" i="3" s="1"/>
  <c r="BL2" i="3" s="1"/>
  <c r="BO2" i="3" s="1"/>
  <c r="BR2" i="3" s="1"/>
  <c r="E46" i="1" l="1"/>
  <c r="E47" i="1"/>
  <c r="J47" i="1"/>
  <c r="K14" i="1"/>
  <c r="K46" i="1" l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3" i="1"/>
  <c r="K12" i="1"/>
  <c r="K11" i="1"/>
  <c r="K10" i="1"/>
  <c r="K9" i="1"/>
  <c r="K8" i="1"/>
  <c r="K7" i="1"/>
  <c r="K6" i="1"/>
  <c r="K5" i="1"/>
  <c r="K4" i="1"/>
  <c r="K3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3" i="1"/>
  <c r="I12" i="1"/>
  <c r="I11" i="1"/>
  <c r="I10" i="1"/>
  <c r="I9" i="1"/>
  <c r="I8" i="1"/>
  <c r="I7" i="1"/>
  <c r="I6" i="1"/>
  <c r="I5" i="1"/>
  <c r="I4" i="1"/>
  <c r="I3" i="1"/>
  <c r="I47" i="1" s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3" i="1"/>
  <c r="G12" i="1"/>
  <c r="G11" i="1"/>
  <c r="G10" i="1"/>
  <c r="G9" i="1"/>
  <c r="G8" i="1"/>
  <c r="G7" i="1"/>
  <c r="G6" i="1"/>
  <c r="G5" i="1"/>
  <c r="G4" i="1"/>
  <c r="G47" i="1" s="1"/>
  <c r="G3" i="1"/>
  <c r="E4" i="1"/>
  <c r="E5" i="1"/>
  <c r="E6" i="1"/>
  <c r="E7" i="1"/>
  <c r="E8" i="1"/>
  <c r="E9" i="1"/>
  <c r="E10" i="1"/>
  <c r="E11" i="1"/>
  <c r="E12" i="1"/>
  <c r="E13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3" i="1"/>
  <c r="H47" i="1"/>
  <c r="C47" i="1"/>
  <c r="D47" i="1"/>
  <c r="F47" i="1"/>
  <c r="B47" i="1"/>
  <c r="K47" i="1" l="1"/>
</calcChain>
</file>

<file path=xl/sharedStrings.xml><?xml version="1.0" encoding="utf-8"?>
<sst xmlns="http://schemas.openxmlformats.org/spreadsheetml/2006/main" count="570" uniqueCount="145">
  <si>
    <t>銘柄</t>
    <rPh sb="0" eb="2">
      <t>メイガラ</t>
    </rPh>
    <phoneticPr fontId="2"/>
  </si>
  <si>
    <t>フラックスPFS-1N</t>
    <phoneticPr fontId="2"/>
  </si>
  <si>
    <t>ワイヤー　DW-100E  1.2×15</t>
    <phoneticPr fontId="2"/>
  </si>
  <si>
    <t>ワイヤー　DW-309MOL 1.2× 12.5</t>
    <phoneticPr fontId="2"/>
  </si>
  <si>
    <t>ワイヤー DW-100 1.2×12.5</t>
    <phoneticPr fontId="2"/>
  </si>
  <si>
    <t>ワイヤ　DW-100 1.2×15</t>
    <phoneticPr fontId="2"/>
  </si>
  <si>
    <t>ワイヤ　DW-100 1.2×250</t>
    <phoneticPr fontId="2"/>
  </si>
  <si>
    <t>ワイヤ　DW-100(K) 1.2×15</t>
    <phoneticPr fontId="2"/>
  </si>
  <si>
    <t>ワイヤ　DW-100R 1.2×15</t>
    <phoneticPr fontId="2"/>
  </si>
  <si>
    <t>ワイヤ　DW-100V 1.2×12.5</t>
    <phoneticPr fontId="2"/>
  </si>
  <si>
    <t>ワイヤ　DW-100V 1.4×15</t>
    <phoneticPr fontId="2"/>
  </si>
  <si>
    <t>ワイヤ　DW-200 1.4×15</t>
    <phoneticPr fontId="2"/>
  </si>
  <si>
    <t>ワイヤMD-50D 1.2×20</t>
    <phoneticPr fontId="2"/>
  </si>
  <si>
    <t>ワイヤ　MG-50T 1.0×20</t>
    <phoneticPr fontId="2"/>
  </si>
  <si>
    <t>ワイヤ　MX-100 1.2×12.5</t>
    <phoneticPr fontId="2"/>
  </si>
  <si>
    <t>ワイヤ　MX-200 F/1.4×250</t>
    <phoneticPr fontId="2"/>
  </si>
  <si>
    <t>ワイヤ　MXH 1.4×250</t>
    <phoneticPr fontId="2"/>
  </si>
  <si>
    <t>溶接材料　DWS-43G 1.6×20</t>
    <rPh sb="0" eb="2">
      <t>ヨウセツ</t>
    </rPh>
    <rPh sb="2" eb="4">
      <t>ザイリョウ</t>
    </rPh>
    <phoneticPr fontId="2"/>
  </si>
  <si>
    <t>溶接材料　TGS-309MOL 2.4</t>
    <rPh sb="0" eb="2">
      <t>ヨウセツ</t>
    </rPh>
    <rPh sb="2" eb="4">
      <t>ザイリョウ</t>
    </rPh>
    <phoneticPr fontId="2"/>
  </si>
  <si>
    <t>溶接材料　US-317L 4.0</t>
    <rPh sb="0" eb="2">
      <t>ヨウセツ</t>
    </rPh>
    <rPh sb="2" eb="4">
      <t>ザイリョウ</t>
    </rPh>
    <phoneticPr fontId="2"/>
  </si>
  <si>
    <t>溶接材料　US-36P 4.8</t>
    <rPh sb="0" eb="2">
      <t>ヨウセツ</t>
    </rPh>
    <rPh sb="2" eb="4">
      <t>ザイリョウ</t>
    </rPh>
    <phoneticPr fontId="2"/>
  </si>
  <si>
    <t>溶接棒　B-14 3.2</t>
    <rPh sb="0" eb="2">
      <t>ヨウセツ</t>
    </rPh>
    <rPh sb="2" eb="3">
      <t>ボウ</t>
    </rPh>
    <phoneticPr fontId="2"/>
  </si>
  <si>
    <t>溶接棒　B-14 4.0</t>
    <rPh sb="0" eb="2">
      <t>ヨウセツ</t>
    </rPh>
    <rPh sb="2" eb="3">
      <t>ボウ</t>
    </rPh>
    <phoneticPr fontId="2"/>
  </si>
  <si>
    <t>溶接棒　LB-26V 4.0</t>
    <rPh sb="0" eb="2">
      <t>ヨウセツ</t>
    </rPh>
    <rPh sb="2" eb="3">
      <t>ボウ</t>
    </rPh>
    <phoneticPr fontId="2"/>
  </si>
  <si>
    <t>溶接棒　LB-26V 5.5</t>
    <rPh sb="0" eb="2">
      <t>ヨウセツ</t>
    </rPh>
    <rPh sb="2" eb="3">
      <t>ボウ</t>
    </rPh>
    <phoneticPr fontId="2"/>
  </si>
  <si>
    <t>溶接棒　LB-52T 3.2</t>
    <rPh sb="0" eb="2">
      <t>ヨウセツ</t>
    </rPh>
    <rPh sb="2" eb="3">
      <t>ボウ</t>
    </rPh>
    <phoneticPr fontId="2"/>
  </si>
  <si>
    <t>溶接棒　LB-52T 4.0</t>
    <rPh sb="0" eb="2">
      <t>ヨウセツ</t>
    </rPh>
    <rPh sb="2" eb="3">
      <t>ボウ</t>
    </rPh>
    <phoneticPr fontId="2"/>
  </si>
  <si>
    <t>溶接棒　LBW-52P 4.0</t>
    <rPh sb="0" eb="2">
      <t>ヨウセツ</t>
    </rPh>
    <rPh sb="2" eb="3">
      <t>ボウ</t>
    </rPh>
    <phoneticPr fontId="2"/>
  </si>
  <si>
    <t>溶接棒　PFH 55E</t>
    <rPh sb="0" eb="2">
      <t>ヨウセツ</t>
    </rPh>
    <rPh sb="2" eb="3">
      <t>ボウ</t>
    </rPh>
    <phoneticPr fontId="2"/>
  </si>
  <si>
    <t>溶接棒　Z-44 3.2×04</t>
    <rPh sb="0" eb="2">
      <t>ヨウセツ</t>
    </rPh>
    <rPh sb="2" eb="3">
      <t>ボウ</t>
    </rPh>
    <phoneticPr fontId="2"/>
  </si>
  <si>
    <t>溶接棒　Z-44 4.0×04</t>
    <rPh sb="0" eb="2">
      <t>ヨウセツ</t>
    </rPh>
    <rPh sb="2" eb="3">
      <t>ボウ</t>
    </rPh>
    <phoneticPr fontId="2"/>
  </si>
  <si>
    <t>裏当メタルパウダー　RR-2</t>
    <rPh sb="0" eb="1">
      <t>ウラ</t>
    </rPh>
    <rPh sb="1" eb="2">
      <t>アテ</t>
    </rPh>
    <phoneticPr fontId="2"/>
  </si>
  <si>
    <t>裏当て材　BB-3H 600</t>
    <rPh sb="0" eb="1">
      <t>ウラ</t>
    </rPh>
    <rPh sb="1" eb="2">
      <t>アテ</t>
    </rPh>
    <rPh sb="3" eb="4">
      <t>ザイ</t>
    </rPh>
    <phoneticPr fontId="2"/>
  </si>
  <si>
    <t>裏当材　BB-3T 600</t>
    <rPh sb="0" eb="1">
      <t>ウラ</t>
    </rPh>
    <rPh sb="1" eb="2">
      <t>アテ</t>
    </rPh>
    <rPh sb="2" eb="3">
      <t>ザイ</t>
    </rPh>
    <phoneticPr fontId="2"/>
  </si>
  <si>
    <t>24.06在庫</t>
    <rPh sb="5" eb="7">
      <t>ザイコ</t>
    </rPh>
    <phoneticPr fontId="2"/>
  </si>
  <si>
    <t>24.07在庫</t>
    <rPh sb="5" eb="7">
      <t>ザイコ</t>
    </rPh>
    <phoneticPr fontId="2"/>
  </si>
  <si>
    <t>24.08在庫</t>
    <rPh sb="5" eb="7">
      <t>ザイコ</t>
    </rPh>
    <phoneticPr fontId="2"/>
  </si>
  <si>
    <t>24.09在庫</t>
    <rPh sb="5" eb="7">
      <t>ザイコ</t>
    </rPh>
    <phoneticPr fontId="2"/>
  </si>
  <si>
    <t>24.10在庫</t>
    <rPh sb="5" eb="7">
      <t>ザイコ</t>
    </rPh>
    <phoneticPr fontId="2"/>
  </si>
  <si>
    <t>24.11在庫</t>
    <rPh sb="5" eb="7">
      <t>ザイコ</t>
    </rPh>
    <phoneticPr fontId="2"/>
  </si>
  <si>
    <t>24.12在庫</t>
    <rPh sb="5" eb="7">
      <t>ザイコ</t>
    </rPh>
    <phoneticPr fontId="2"/>
  </si>
  <si>
    <t>前月差</t>
    <rPh sb="0" eb="2">
      <t>ゼンゲツ</t>
    </rPh>
    <rPh sb="2" eb="3">
      <t>サ</t>
    </rPh>
    <phoneticPr fontId="2"/>
  </si>
  <si>
    <t>フラックスPFI-55E</t>
    <phoneticPr fontId="2"/>
  </si>
  <si>
    <t>フラックス　RF 1</t>
    <phoneticPr fontId="2"/>
  </si>
  <si>
    <t>ワイヤ　DW-100 1.4×15</t>
    <phoneticPr fontId="2"/>
  </si>
  <si>
    <t>ワイヤ　DW100  1.2×5</t>
    <phoneticPr fontId="2"/>
  </si>
  <si>
    <t>ワイヤ　DW-60 1.2×20</t>
    <phoneticPr fontId="2"/>
  </si>
  <si>
    <t>ワイヤ　MX-200 F/1.4×15</t>
    <phoneticPr fontId="2"/>
  </si>
  <si>
    <t>ワイヤ　MX-200H 1.4×250</t>
    <phoneticPr fontId="2"/>
  </si>
  <si>
    <t>フラックス　KL-4GT 600</t>
    <phoneticPr fontId="2"/>
  </si>
  <si>
    <t>溶接材料　US-36  4.8</t>
    <rPh sb="0" eb="2">
      <t>ヨウセツ</t>
    </rPh>
    <rPh sb="2" eb="4">
      <t>ザイリョウ</t>
    </rPh>
    <phoneticPr fontId="2"/>
  </si>
  <si>
    <t>溶接材料　US-36  6.4</t>
    <rPh sb="0" eb="2">
      <t>ヨウセツ</t>
    </rPh>
    <rPh sb="2" eb="4">
      <t>ザイリョウ</t>
    </rPh>
    <phoneticPr fontId="2"/>
  </si>
  <si>
    <t>小計</t>
    <rPh sb="0" eb="2">
      <t>ショウケイ</t>
    </rPh>
    <phoneticPr fontId="2"/>
  </si>
  <si>
    <t>ワイヤ　DW-100(C) 1.2×15</t>
    <phoneticPr fontId="2"/>
  </si>
  <si>
    <t>出庫</t>
    <rPh sb="0" eb="2">
      <t>シュッコ</t>
    </rPh>
    <phoneticPr fontId="2"/>
  </si>
  <si>
    <t>入庫</t>
    <rPh sb="0" eb="2">
      <t>ニュウコ</t>
    </rPh>
    <phoneticPr fontId="2"/>
  </si>
  <si>
    <t>在庫</t>
    <rPh sb="0" eb="2">
      <t>ザイコ</t>
    </rPh>
    <phoneticPr fontId="2"/>
  </si>
  <si>
    <t>大西</t>
    <rPh sb="0" eb="2">
      <t>オオニシ</t>
    </rPh>
    <phoneticPr fontId="2"/>
  </si>
  <si>
    <t>波止浜</t>
    <rPh sb="0" eb="3">
      <t>ハシハマ</t>
    </rPh>
    <phoneticPr fontId="2"/>
  </si>
  <si>
    <t>製作所</t>
    <rPh sb="0" eb="3">
      <t>セイサクショ</t>
    </rPh>
    <phoneticPr fontId="2"/>
  </si>
  <si>
    <t>納品先</t>
    <rPh sb="0" eb="3">
      <t>ノウヒンサキ</t>
    </rPh>
    <phoneticPr fontId="2"/>
  </si>
  <si>
    <t>裏当てメタルパウダー</t>
    <rPh sb="0" eb="1">
      <t>ウラ</t>
    </rPh>
    <rPh sb="1" eb="2">
      <t>アテ</t>
    </rPh>
    <phoneticPr fontId="2"/>
  </si>
  <si>
    <t>RR-2</t>
    <phoneticPr fontId="2"/>
  </si>
  <si>
    <t>フラックス</t>
    <phoneticPr fontId="2"/>
  </si>
  <si>
    <t>PFH 55E</t>
    <phoneticPr fontId="2"/>
  </si>
  <si>
    <t>ワイヤ</t>
    <phoneticPr fontId="2"/>
  </si>
  <si>
    <t>溶接棒</t>
    <rPh sb="0" eb="2">
      <t>ヨウセツ</t>
    </rPh>
    <rPh sb="2" eb="3">
      <t>ボウ</t>
    </rPh>
    <phoneticPr fontId="2"/>
  </si>
  <si>
    <t>裏当て材</t>
    <rPh sb="0" eb="1">
      <t>ウラ</t>
    </rPh>
    <rPh sb="1" eb="2">
      <t>アテ</t>
    </rPh>
    <rPh sb="3" eb="4">
      <t>ザイ</t>
    </rPh>
    <phoneticPr fontId="2"/>
  </si>
  <si>
    <t>裏当て材</t>
    <rPh sb="0" eb="2">
      <t>ウラア</t>
    </rPh>
    <rPh sb="3" eb="4">
      <t>ザイ</t>
    </rPh>
    <phoneticPr fontId="2"/>
  </si>
  <si>
    <t>PFI-55E</t>
    <phoneticPr fontId="2"/>
  </si>
  <si>
    <t>PFS-1N</t>
    <phoneticPr fontId="2"/>
  </si>
  <si>
    <t>RF 1</t>
    <phoneticPr fontId="2"/>
  </si>
  <si>
    <t>DW-100E  1.2×15</t>
    <phoneticPr fontId="2"/>
  </si>
  <si>
    <t>DW-309MOL 1.2× 12.5</t>
    <phoneticPr fontId="2"/>
  </si>
  <si>
    <t>DW-100 1.2×12.5</t>
    <phoneticPr fontId="2"/>
  </si>
  <si>
    <t>DW-100 1.2×15</t>
    <phoneticPr fontId="2"/>
  </si>
  <si>
    <t>DW-100 1.2×250</t>
    <phoneticPr fontId="2"/>
  </si>
  <si>
    <t>DW100  1.2×5</t>
    <phoneticPr fontId="2"/>
  </si>
  <si>
    <t>DW-100 1.4×15</t>
    <phoneticPr fontId="2"/>
  </si>
  <si>
    <t>DW-100(K) 1.2×15</t>
    <phoneticPr fontId="2"/>
  </si>
  <si>
    <t>DW-100(C) 1.2×15</t>
    <phoneticPr fontId="2"/>
  </si>
  <si>
    <t>DW-100R 1.2×15</t>
    <phoneticPr fontId="2"/>
  </si>
  <si>
    <t>DW-100V 1.2×12.5</t>
    <phoneticPr fontId="2"/>
  </si>
  <si>
    <t>DW-100V 1.4×15</t>
    <phoneticPr fontId="2"/>
  </si>
  <si>
    <t>DW-200 1.4×15</t>
    <phoneticPr fontId="2"/>
  </si>
  <si>
    <t>DW-60 1.2×20</t>
    <phoneticPr fontId="2"/>
  </si>
  <si>
    <t>MG-50D 1.2×20</t>
    <phoneticPr fontId="2"/>
  </si>
  <si>
    <t>MG-50T 1.0×20</t>
    <phoneticPr fontId="2"/>
  </si>
  <si>
    <t>MX-100 1.2×12.5</t>
    <phoneticPr fontId="2"/>
  </si>
  <si>
    <t>MX-200 F/1.4×15</t>
    <phoneticPr fontId="2"/>
  </si>
  <si>
    <t>MX-200 F/1.4×250</t>
    <phoneticPr fontId="2"/>
  </si>
  <si>
    <t>DWS-43G 1.6×20</t>
    <phoneticPr fontId="2"/>
  </si>
  <si>
    <t>TGS-309MOL 2.4</t>
    <phoneticPr fontId="2"/>
  </si>
  <si>
    <t>US-317L 4.0</t>
    <phoneticPr fontId="2"/>
  </si>
  <si>
    <t>US-36  4.8</t>
    <phoneticPr fontId="2"/>
  </si>
  <si>
    <t>US-36  6.4</t>
    <phoneticPr fontId="2"/>
  </si>
  <si>
    <t>US-36P 4.8</t>
    <phoneticPr fontId="2"/>
  </si>
  <si>
    <t>B-14 3.2</t>
    <phoneticPr fontId="2"/>
  </si>
  <si>
    <t>B-14 4.0</t>
    <phoneticPr fontId="2"/>
  </si>
  <si>
    <t>LB-26V 4.0</t>
    <phoneticPr fontId="2"/>
  </si>
  <si>
    <t>LB-26V 5.5</t>
    <phoneticPr fontId="2"/>
  </si>
  <si>
    <t>LB-52T 3.2</t>
    <phoneticPr fontId="2"/>
  </si>
  <si>
    <t>LB-52T 4.0</t>
    <phoneticPr fontId="2"/>
  </si>
  <si>
    <t>LBM-52P 4.0</t>
    <phoneticPr fontId="2"/>
  </si>
  <si>
    <t>FBB-3H 600</t>
    <phoneticPr fontId="2"/>
  </si>
  <si>
    <t>FBB-3T 600</t>
    <phoneticPr fontId="2"/>
  </si>
  <si>
    <t>KL-4GT 600</t>
    <phoneticPr fontId="2"/>
  </si>
  <si>
    <t>・・・停滞在庫品</t>
    <rPh sb="3" eb="5">
      <t>テイタイ</t>
    </rPh>
    <rPh sb="5" eb="7">
      <t>ザイコ</t>
    </rPh>
    <rPh sb="7" eb="8">
      <t>ヒン</t>
    </rPh>
    <phoneticPr fontId="2"/>
  </si>
  <si>
    <t>・・・長納期品（納期：6か月）</t>
    <rPh sb="3" eb="7">
      <t>チョウノウキヒン</t>
    </rPh>
    <rPh sb="8" eb="10">
      <t>ノウキ</t>
    </rPh>
    <rPh sb="13" eb="14">
      <t>ゲツ</t>
    </rPh>
    <phoneticPr fontId="2"/>
  </si>
  <si>
    <t>MX-200 H/1.4×250</t>
    <phoneticPr fontId="2"/>
  </si>
  <si>
    <t>板継用</t>
    <rPh sb="0" eb="1">
      <t>イタ</t>
    </rPh>
    <rPh sb="1" eb="3">
      <t>ツギヨウ</t>
    </rPh>
    <phoneticPr fontId="2"/>
  </si>
  <si>
    <t>全姿勢用</t>
    <rPh sb="0" eb="3">
      <t>ゼンシセイ</t>
    </rPh>
    <rPh sb="3" eb="4">
      <t>ヨウ</t>
    </rPh>
    <phoneticPr fontId="2"/>
  </si>
  <si>
    <t>Z-44 3.2</t>
    <phoneticPr fontId="2"/>
  </si>
  <si>
    <t>Z-44 4.0</t>
    <phoneticPr fontId="2"/>
  </si>
  <si>
    <t>手配予定</t>
    <rPh sb="0" eb="2">
      <t>テハイ</t>
    </rPh>
    <rPh sb="2" eb="4">
      <t>ヨテイ</t>
    </rPh>
    <phoneticPr fontId="2"/>
  </si>
  <si>
    <t>預り在庫</t>
    <rPh sb="0" eb="1">
      <t>アズカ</t>
    </rPh>
    <rPh sb="2" eb="4">
      <t>ザイコ</t>
    </rPh>
    <phoneticPr fontId="2"/>
  </si>
  <si>
    <t>3F RF用</t>
    <rPh sb="5" eb="6">
      <t>ヨウ</t>
    </rPh>
    <phoneticPr fontId="2"/>
  </si>
  <si>
    <t>波止浜用</t>
    <rPh sb="0" eb="4">
      <t>ハシハマヨウ</t>
    </rPh>
    <phoneticPr fontId="2"/>
  </si>
  <si>
    <t>DW-309MOＬ　1.4×12.5</t>
    <phoneticPr fontId="2"/>
  </si>
  <si>
    <t>M-GRITS　25㎏</t>
    <phoneticPr fontId="2"/>
  </si>
  <si>
    <t>NO1296　 25㎏</t>
    <phoneticPr fontId="2"/>
  </si>
  <si>
    <t>LB-M52P　3.2</t>
    <phoneticPr fontId="2"/>
  </si>
  <si>
    <t>充填剤</t>
    <rPh sb="0" eb="3">
      <t>ジュウテンザイ</t>
    </rPh>
    <phoneticPr fontId="2"/>
  </si>
  <si>
    <t>溶接棒</t>
    <rPh sb="0" eb="3">
      <t>ヨウセツボウ</t>
    </rPh>
    <phoneticPr fontId="2"/>
  </si>
  <si>
    <t>広島へ移動</t>
    <rPh sb="0" eb="2">
      <t>ヒロシマ</t>
    </rPh>
    <rPh sb="3" eb="5">
      <t>イドウ</t>
    </rPh>
    <phoneticPr fontId="2"/>
  </si>
  <si>
    <t>PFS1N</t>
    <phoneticPr fontId="2"/>
  </si>
  <si>
    <t>LB-26V 3.2</t>
    <phoneticPr fontId="2"/>
  </si>
  <si>
    <t>FBB-3W 600</t>
    <phoneticPr fontId="2"/>
  </si>
  <si>
    <t>MXZ-200/1.2×15</t>
    <phoneticPr fontId="2"/>
  </si>
  <si>
    <t>手配済み</t>
    <rPh sb="0" eb="3">
      <t>テハイズ</t>
    </rPh>
    <phoneticPr fontId="2"/>
  </si>
  <si>
    <t>TGS-317L　 2.4</t>
    <phoneticPr fontId="2"/>
  </si>
  <si>
    <t>株式会社 新来島どっく 殿</t>
    <rPh sb="0" eb="4">
      <t>カブシキガイシャ</t>
    </rPh>
    <rPh sb="5" eb="8">
      <t>シンクルシマ</t>
    </rPh>
    <rPh sb="12" eb="13">
      <t>ドノ</t>
    </rPh>
    <phoneticPr fontId="2"/>
  </si>
  <si>
    <t>株式会社 新来島広島どっく 殿</t>
    <rPh sb="0" eb="4">
      <t>カブシキガイシャ</t>
    </rPh>
    <rPh sb="5" eb="8">
      <t>シンクルシマ</t>
    </rPh>
    <rPh sb="8" eb="10">
      <t>ヒロシマ</t>
    </rPh>
    <rPh sb="14" eb="15">
      <t>ドノ</t>
    </rPh>
    <phoneticPr fontId="2"/>
  </si>
  <si>
    <t>DW-309MOＬ　1.2×12.5</t>
    <phoneticPr fontId="2"/>
  </si>
  <si>
    <t>組立 全姿勢</t>
    <rPh sb="0" eb="2">
      <t>クミタテ</t>
    </rPh>
    <rPh sb="3" eb="4">
      <t>ゼン</t>
    </rPh>
    <rPh sb="4" eb="6">
      <t>シセイ</t>
    </rPh>
    <phoneticPr fontId="2"/>
  </si>
  <si>
    <t>移出</t>
    <rPh sb="0" eb="2">
      <t>イシュツ</t>
    </rPh>
    <phoneticPr fontId="2"/>
  </si>
  <si>
    <t>生産済み</t>
    <rPh sb="0" eb="3">
      <t>セイサンズ</t>
    </rPh>
    <phoneticPr fontId="2"/>
  </si>
  <si>
    <t>6月までの納品予定</t>
    <rPh sb="1" eb="2">
      <t>ガツ</t>
    </rPh>
    <rPh sb="5" eb="7">
      <t>ノウヒン</t>
    </rPh>
    <rPh sb="7" eb="9">
      <t>ヨテイ</t>
    </rPh>
    <phoneticPr fontId="2"/>
  </si>
  <si>
    <t>7月納品分</t>
    <rPh sb="1" eb="5">
      <t>ガツノウヒンブン</t>
    </rPh>
    <phoneticPr fontId="2"/>
  </si>
  <si>
    <t>6月までの納品分</t>
    <rPh sb="1" eb="2">
      <t>ガツ</t>
    </rPh>
    <rPh sb="5" eb="7">
      <t>ノウヒン</t>
    </rPh>
    <rPh sb="7" eb="8">
      <t>ブン</t>
    </rPh>
    <phoneticPr fontId="2"/>
  </si>
  <si>
    <t>7月納品</t>
    <rPh sb="1" eb="4">
      <t>ガツノウヒン</t>
    </rPh>
    <phoneticPr fontId="2"/>
  </si>
  <si>
    <t>7月納品</t>
    <rPh sb="1" eb="2">
      <t>ガツ</t>
    </rPh>
    <rPh sb="2" eb="4">
      <t>ノウヒン</t>
    </rPh>
    <phoneticPr fontId="2"/>
  </si>
  <si>
    <t>在庫評価</t>
    <rPh sb="0" eb="4">
      <t>ザイコヒョウカ</t>
    </rPh>
    <phoneticPr fontId="2"/>
  </si>
  <si>
    <t>在庫評価</t>
    <rPh sb="0" eb="4">
      <t>ザイコヒョウカ</t>
    </rPh>
    <phoneticPr fontId="2"/>
  </si>
  <si>
    <t>在庫評価</t>
    <rPh sb="0" eb="4">
      <t>ザイコ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</si>
</sst>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;[Red]\-#,##0.0"/>
    <numFmt numFmtId="177" formatCode="yyyy&quot;年&quot;m&quot;月&quot;;@"/>
  </numFmts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12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79998168889431442"/>
        <bgColor indexed="64"/>
      </patternFill>
    </fill>
  </fills>
  <borders count="9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 diagonalUp="1">
      <left style="medium">
        <color indexed="64"/>
      </left>
      <right style="thin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/>
      <diagonal style="thin">
        <color auto="1"/>
      </diagonal>
    </border>
    <border diagonalUp="1">
      <left style="medium">
        <color indexed="64"/>
      </left>
      <right style="thin">
        <color auto="1"/>
      </right>
      <top/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/>
      <bottom style="thin">
        <color auto="1"/>
      </bottom>
      <diagonal style="thin">
        <color auto="1"/>
      </diagonal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>
      <left style="thin">
        <color auto="1"/>
      </left>
      <right/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thin">
        <color auto="1"/>
      </top>
      <bottom style="thin">
        <color auto="1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 diagonalUp="1"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 style="thin">
        <color indexed="64"/>
      </diagonal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 diagonalUp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 diagonalUp="1">
      <left/>
      <right/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medium">
        <color indexed="64"/>
      </top>
      <bottom style="medium">
        <color indexed="64"/>
      </bottom>
      <diagonal/>
    </border>
    <border diagonalUp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 style="medium">
        <color indexed="64"/>
      </top>
      <bottom style="thin">
        <color auto="1"/>
      </bottom>
      <diagonal style="thin">
        <color indexed="64"/>
      </diagonal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98">
    <xf numFmtId="0" fontId="0" fillId="0" borderId="0" xfId="0">
      <alignment vertical="center"/>
    </xf>
    <xf numFmtId="38" fontId="0" fillId="0" borderId="0" xfId="1" applyFont="1">
      <alignment vertical="center"/>
    </xf>
    <xf numFmtId="38" fontId="0" fillId="0" borderId="1" xfId="1" applyFont="1" applyBorder="1" applyAlignment="1">
      <alignment horizontal="center" vertical="center"/>
    </xf>
    <xf numFmtId="38" fontId="0" fillId="0" borderId="1" xfId="1" applyFont="1" applyBorder="1">
      <alignment vertical="center"/>
    </xf>
    <xf numFmtId="38" fontId="0" fillId="2" borderId="1" xfId="1" applyFont="1" applyFill="1" applyBorder="1" applyAlignment="1">
      <alignment horizontal="center" vertical="center"/>
    </xf>
    <xf numFmtId="38" fontId="0" fillId="2" borderId="1" xfId="1" applyFont="1" applyFill="1" applyBorder="1" applyAlignment="1">
      <alignment vertical="center"/>
    </xf>
    <xf numFmtId="38" fontId="0" fillId="3" borderId="1" xfId="1" applyFont="1" applyFill="1" applyBorder="1" applyAlignment="1">
      <alignment horizontal="center" vertical="center"/>
    </xf>
    <xf numFmtId="38" fontId="0" fillId="3" borderId="1" xfId="1" applyFont="1" applyFill="1" applyBorder="1" applyAlignment="1">
      <alignment vertical="center"/>
    </xf>
    <xf numFmtId="38" fontId="0" fillId="3" borderId="1" xfId="1" applyFont="1" applyFill="1" applyBorder="1">
      <alignment vertical="center"/>
    </xf>
    <xf numFmtId="38" fontId="0" fillId="2" borderId="1" xfId="1" applyFont="1" applyFill="1" applyBorder="1">
      <alignment vertical="center"/>
    </xf>
    <xf numFmtId="38" fontId="0" fillId="3" borderId="1" xfId="1" applyFont="1" applyFill="1" applyBorder="1" applyAlignment="1">
      <alignment horizontal="right" vertical="center"/>
    </xf>
    <xf numFmtId="176" fontId="0" fillId="3" borderId="1" xfId="1" applyNumberFormat="1" applyFont="1" applyFill="1" applyBorder="1">
      <alignment vertical="center"/>
    </xf>
    <xf numFmtId="38" fontId="0" fillId="4" borderId="1" xfId="1" applyFont="1" applyFill="1" applyBorder="1">
      <alignment vertical="center"/>
    </xf>
    <xf numFmtId="38" fontId="3" fillId="0" borderId="0" xfId="1" applyFont="1">
      <alignment vertical="center"/>
    </xf>
    <xf numFmtId="38" fontId="3" fillId="3" borderId="1" xfId="1" applyFont="1" applyFill="1" applyBorder="1" applyAlignment="1">
      <alignment vertical="center"/>
    </xf>
    <xf numFmtId="38" fontId="3" fillId="2" borderId="1" xfId="1" applyFont="1" applyFill="1" applyBorder="1" applyAlignment="1">
      <alignment vertical="center"/>
    </xf>
    <xf numFmtId="176" fontId="3" fillId="5" borderId="1" xfId="1" applyNumberFormat="1" applyFont="1" applyFill="1" applyBorder="1" applyAlignment="1">
      <alignment horizontal="right" vertical="center"/>
    </xf>
    <xf numFmtId="176" fontId="3" fillId="5" borderId="4" xfId="1" applyNumberFormat="1" applyFont="1" applyFill="1" applyBorder="1" applyAlignment="1">
      <alignment horizontal="right" vertical="center"/>
    </xf>
    <xf numFmtId="176" fontId="3" fillId="2" borderId="10" xfId="1" applyNumberFormat="1" applyFont="1" applyFill="1" applyBorder="1" applyAlignment="1">
      <alignment horizontal="right" vertical="center"/>
    </xf>
    <xf numFmtId="176" fontId="3" fillId="6" borderId="11" xfId="1" applyNumberFormat="1" applyFont="1" applyFill="1" applyBorder="1" applyAlignment="1">
      <alignment horizontal="right" vertical="center"/>
    </xf>
    <xf numFmtId="176" fontId="3" fillId="2" borderId="18" xfId="1" applyNumberFormat="1" applyFont="1" applyFill="1" applyBorder="1" applyAlignment="1">
      <alignment horizontal="right" vertical="center"/>
    </xf>
    <xf numFmtId="176" fontId="3" fillId="5" borderId="19" xfId="1" applyNumberFormat="1" applyFont="1" applyFill="1" applyBorder="1" applyAlignment="1">
      <alignment horizontal="right" vertical="center"/>
    </xf>
    <xf numFmtId="176" fontId="3" fillId="6" borderId="20" xfId="1" applyNumberFormat="1" applyFont="1" applyFill="1" applyBorder="1" applyAlignment="1">
      <alignment horizontal="right" vertical="center"/>
    </xf>
    <xf numFmtId="176" fontId="3" fillId="6" borderId="21" xfId="1" applyNumberFormat="1" applyFont="1" applyFill="1" applyBorder="1" applyAlignment="1">
      <alignment horizontal="right" vertical="center"/>
    </xf>
    <xf numFmtId="176" fontId="3" fillId="2" borderId="22" xfId="1" applyNumberFormat="1" applyFont="1" applyFill="1" applyBorder="1" applyAlignment="1">
      <alignment horizontal="right" vertical="center"/>
    </xf>
    <xf numFmtId="38" fontId="3" fillId="3" borderId="8" xfId="1" applyFont="1" applyFill="1" applyBorder="1" applyAlignment="1">
      <alignment horizontal="center" vertical="center"/>
    </xf>
    <xf numFmtId="38" fontId="3" fillId="2" borderId="8" xfId="1" applyFont="1" applyFill="1" applyBorder="1" applyAlignment="1">
      <alignment horizontal="center" vertical="center"/>
    </xf>
    <xf numFmtId="38" fontId="3" fillId="0" borderId="11" xfId="1" applyFont="1" applyFill="1" applyBorder="1" applyAlignment="1">
      <alignment vertical="center"/>
    </xf>
    <xf numFmtId="38" fontId="3" fillId="3" borderId="19" xfId="1" applyFont="1" applyFill="1" applyBorder="1" applyAlignment="1">
      <alignment vertical="center"/>
    </xf>
    <xf numFmtId="38" fontId="3" fillId="2" borderId="19" xfId="1" applyFont="1" applyFill="1" applyBorder="1" applyAlignment="1">
      <alignment vertical="center"/>
    </xf>
    <xf numFmtId="38" fontId="3" fillId="0" borderId="20" xfId="1" applyFont="1" applyFill="1" applyBorder="1" applyAlignment="1">
      <alignment vertical="center"/>
    </xf>
    <xf numFmtId="176" fontId="3" fillId="6" borderId="12" xfId="1" applyNumberFormat="1" applyFont="1" applyFill="1" applyBorder="1" applyAlignment="1">
      <alignment horizontal="right" vertical="center"/>
    </xf>
    <xf numFmtId="176" fontId="3" fillId="6" borderId="13" xfId="1" applyNumberFormat="1" applyFont="1" applyFill="1" applyBorder="1" applyAlignment="1">
      <alignment horizontal="right" vertical="center"/>
    </xf>
    <xf numFmtId="176" fontId="3" fillId="5" borderId="2" xfId="1" applyNumberFormat="1" applyFont="1" applyFill="1" applyBorder="1" applyAlignment="1">
      <alignment horizontal="right" vertical="center"/>
    </xf>
    <xf numFmtId="176" fontId="3" fillId="5" borderId="3" xfId="1" applyNumberFormat="1" applyFont="1" applyFill="1" applyBorder="1" applyAlignment="1">
      <alignment horizontal="right" vertical="center"/>
    </xf>
    <xf numFmtId="38" fontId="3" fillId="3" borderId="2" xfId="1" applyFont="1" applyFill="1" applyBorder="1" applyAlignment="1">
      <alignment horizontal="center" vertical="center"/>
    </xf>
    <xf numFmtId="38" fontId="3" fillId="2" borderId="2" xfId="1" applyFont="1" applyFill="1" applyBorder="1" applyAlignment="1">
      <alignment horizontal="center" vertical="center"/>
    </xf>
    <xf numFmtId="38" fontId="3" fillId="2" borderId="23" xfId="1" applyFont="1" applyFill="1" applyBorder="1" applyAlignment="1">
      <alignment horizontal="center" vertical="center"/>
    </xf>
    <xf numFmtId="38" fontId="3" fillId="5" borderId="2" xfId="1" applyFont="1" applyFill="1" applyBorder="1" applyAlignment="1">
      <alignment horizontal="center" vertical="center"/>
    </xf>
    <xf numFmtId="38" fontId="3" fillId="6" borderId="12" xfId="1" applyFont="1" applyFill="1" applyBorder="1" applyAlignment="1">
      <alignment horizontal="center" vertical="center"/>
    </xf>
    <xf numFmtId="38" fontId="3" fillId="3" borderId="3" xfId="1" applyFont="1" applyFill="1" applyBorder="1" applyAlignment="1">
      <alignment vertical="center"/>
    </xf>
    <xf numFmtId="38" fontId="3" fillId="2" borderId="3" xfId="1" applyFont="1" applyFill="1" applyBorder="1" applyAlignment="1">
      <alignment vertical="center"/>
    </xf>
    <xf numFmtId="38" fontId="3" fillId="0" borderId="13" xfId="1" applyFont="1" applyFill="1" applyBorder="1" applyAlignment="1">
      <alignment vertical="center"/>
    </xf>
    <xf numFmtId="176" fontId="3" fillId="2" borderId="24" xfId="1" applyNumberFormat="1" applyFont="1" applyFill="1" applyBorder="1" applyAlignment="1">
      <alignment horizontal="right" vertical="center"/>
    </xf>
    <xf numFmtId="38" fontId="3" fillId="3" borderId="8" xfId="1" applyFont="1" applyFill="1" applyBorder="1" applyAlignment="1">
      <alignment vertical="center"/>
    </xf>
    <xf numFmtId="38" fontId="3" fillId="2" borderId="8" xfId="1" applyFont="1" applyFill="1" applyBorder="1" applyAlignment="1">
      <alignment vertical="center"/>
    </xf>
    <xf numFmtId="38" fontId="3" fillId="0" borderId="9" xfId="1" applyFont="1" applyFill="1" applyBorder="1" applyAlignment="1">
      <alignment vertical="center"/>
    </xf>
    <xf numFmtId="176" fontId="3" fillId="2" borderId="7" xfId="1" applyNumberFormat="1" applyFont="1" applyFill="1" applyBorder="1" applyAlignment="1">
      <alignment horizontal="right" vertical="center"/>
    </xf>
    <xf numFmtId="38" fontId="3" fillId="3" borderId="2" xfId="1" applyFont="1" applyFill="1" applyBorder="1" applyAlignment="1">
      <alignment vertical="center"/>
    </xf>
    <xf numFmtId="38" fontId="3" fillId="2" borderId="2" xfId="1" applyFont="1" applyFill="1" applyBorder="1" applyAlignment="1">
      <alignment vertical="center"/>
    </xf>
    <xf numFmtId="38" fontId="3" fillId="0" borderId="12" xfId="1" applyFont="1" applyFill="1" applyBorder="1" applyAlignment="1">
      <alignment vertical="center"/>
    </xf>
    <xf numFmtId="176" fontId="3" fillId="2" borderId="23" xfId="1" applyNumberFormat="1" applyFont="1" applyFill="1" applyBorder="1" applyAlignment="1">
      <alignment horizontal="right" vertical="center"/>
    </xf>
    <xf numFmtId="176" fontId="3" fillId="5" borderId="8" xfId="1" applyNumberFormat="1" applyFont="1" applyFill="1" applyBorder="1" applyAlignment="1">
      <alignment horizontal="right" vertical="center"/>
    </xf>
    <xf numFmtId="176" fontId="3" fillId="6" borderId="9" xfId="1" applyNumberFormat="1" applyFont="1" applyFill="1" applyBorder="1" applyAlignment="1">
      <alignment horizontal="right" vertical="center"/>
    </xf>
    <xf numFmtId="38" fontId="3" fillId="3" borderId="32" xfId="1" applyFont="1" applyFill="1" applyBorder="1" applyAlignment="1">
      <alignment vertical="center"/>
    </xf>
    <xf numFmtId="38" fontId="3" fillId="2" borderId="32" xfId="1" applyFont="1" applyFill="1" applyBorder="1" applyAlignment="1">
      <alignment vertical="center"/>
    </xf>
    <xf numFmtId="38" fontId="3" fillId="0" borderId="33" xfId="1" applyFont="1" applyFill="1" applyBorder="1" applyAlignment="1">
      <alignment vertical="center"/>
    </xf>
    <xf numFmtId="176" fontId="3" fillId="2" borderId="31" xfId="1" applyNumberFormat="1" applyFont="1" applyFill="1" applyBorder="1" applyAlignment="1">
      <alignment horizontal="right" vertical="center"/>
    </xf>
    <xf numFmtId="176" fontId="3" fillId="5" borderId="32" xfId="1" applyNumberFormat="1" applyFont="1" applyFill="1" applyBorder="1" applyAlignment="1">
      <alignment horizontal="right" vertical="center"/>
    </xf>
    <xf numFmtId="176" fontId="3" fillId="6" borderId="33" xfId="1" applyNumberFormat="1" applyFont="1" applyFill="1" applyBorder="1" applyAlignment="1">
      <alignment horizontal="right" vertical="center"/>
    </xf>
    <xf numFmtId="38" fontId="3" fillId="0" borderId="41" xfId="1" applyFont="1" applyBorder="1">
      <alignment vertical="center"/>
    </xf>
    <xf numFmtId="38" fontId="3" fillId="0" borderId="42" xfId="1" applyFont="1" applyBorder="1">
      <alignment vertical="center"/>
    </xf>
    <xf numFmtId="38" fontId="3" fillId="0" borderId="43" xfId="1" applyFont="1" applyBorder="1">
      <alignment vertical="center"/>
    </xf>
    <xf numFmtId="38" fontId="3" fillId="3" borderId="39" xfId="1" applyFont="1" applyFill="1" applyBorder="1" applyAlignment="1">
      <alignment horizontal="center" vertical="center"/>
    </xf>
    <xf numFmtId="38" fontId="3" fillId="3" borderId="38" xfId="1" applyFont="1" applyFill="1" applyBorder="1" applyAlignment="1">
      <alignment horizontal="center" vertical="center"/>
    </xf>
    <xf numFmtId="38" fontId="3" fillId="3" borderId="39" xfId="1" applyFont="1" applyFill="1" applyBorder="1" applyAlignment="1">
      <alignment vertical="center"/>
    </xf>
    <xf numFmtId="38" fontId="3" fillId="3" borderId="36" xfId="1" applyFont="1" applyFill="1" applyBorder="1" applyAlignment="1">
      <alignment vertical="center"/>
    </xf>
    <xf numFmtId="38" fontId="3" fillId="3" borderId="37" xfId="1" applyFont="1" applyFill="1" applyBorder="1" applyAlignment="1">
      <alignment vertical="center"/>
    </xf>
    <xf numFmtId="38" fontId="3" fillId="3" borderId="35" xfId="1" applyFont="1" applyFill="1" applyBorder="1" applyAlignment="1">
      <alignment vertical="center"/>
    </xf>
    <xf numFmtId="38" fontId="3" fillId="3" borderId="38" xfId="1" applyFont="1" applyFill="1" applyBorder="1" applyAlignment="1">
      <alignment vertical="center"/>
    </xf>
    <xf numFmtId="38" fontId="3" fillId="3" borderId="40" xfId="1" applyFont="1" applyFill="1" applyBorder="1" applyAlignment="1">
      <alignment vertical="center"/>
    </xf>
    <xf numFmtId="38" fontId="3" fillId="0" borderId="50" xfId="1" applyFont="1" applyBorder="1">
      <alignment vertical="center"/>
    </xf>
    <xf numFmtId="38" fontId="3" fillId="0" borderId="51" xfId="1" applyFont="1" applyBorder="1">
      <alignment vertical="center"/>
    </xf>
    <xf numFmtId="38" fontId="3" fillId="0" borderId="48" xfId="1" applyFont="1" applyBorder="1">
      <alignment vertical="center"/>
    </xf>
    <xf numFmtId="38" fontId="3" fillId="0" borderId="49" xfId="1" applyFont="1" applyBorder="1">
      <alignment vertical="center"/>
    </xf>
    <xf numFmtId="38" fontId="3" fillId="7" borderId="42" xfId="1" applyFont="1" applyFill="1" applyBorder="1">
      <alignment vertical="center"/>
    </xf>
    <xf numFmtId="38" fontId="3" fillId="7" borderId="50" xfId="1" applyFont="1" applyFill="1" applyBorder="1">
      <alignment vertical="center"/>
    </xf>
    <xf numFmtId="38" fontId="3" fillId="0" borderId="42" xfId="1" applyFont="1" applyFill="1" applyBorder="1">
      <alignment vertical="center"/>
    </xf>
    <xf numFmtId="38" fontId="3" fillId="0" borderId="50" xfId="1" applyFont="1" applyFill="1" applyBorder="1">
      <alignment vertical="center"/>
    </xf>
    <xf numFmtId="38" fontId="3" fillId="0" borderId="56" xfId="1" applyFont="1" applyBorder="1">
      <alignment vertical="center"/>
    </xf>
    <xf numFmtId="38" fontId="3" fillId="4" borderId="1" xfId="1" applyFont="1" applyFill="1" applyBorder="1">
      <alignment vertical="center"/>
    </xf>
    <xf numFmtId="38" fontId="3" fillId="7" borderId="1" xfId="1" applyFont="1" applyFill="1" applyBorder="1">
      <alignment vertical="center"/>
    </xf>
    <xf numFmtId="38" fontId="3" fillId="0" borderId="59" xfId="1" applyFont="1" applyBorder="1" applyAlignment="1">
      <alignment horizontal="center" vertical="center"/>
    </xf>
    <xf numFmtId="38" fontId="3" fillId="0" borderId="0" xfId="1" applyFont="1" applyAlignment="1">
      <alignment horizontal="center" vertical="center"/>
    </xf>
    <xf numFmtId="38" fontId="3" fillId="0" borderId="60" xfId="1" applyFont="1" applyBorder="1" applyAlignment="1">
      <alignment horizontal="center" vertical="center"/>
    </xf>
    <xf numFmtId="38" fontId="3" fillId="8" borderId="42" xfId="1" applyFont="1" applyFill="1" applyBorder="1">
      <alignment vertical="center"/>
    </xf>
    <xf numFmtId="38" fontId="3" fillId="8" borderId="50" xfId="1" applyFont="1" applyFill="1" applyBorder="1">
      <alignment vertical="center"/>
    </xf>
    <xf numFmtId="38" fontId="3" fillId="5" borderId="64" xfId="1" applyFont="1" applyFill="1" applyBorder="1" applyAlignment="1">
      <alignment horizontal="center" vertical="center"/>
    </xf>
    <xf numFmtId="176" fontId="3" fillId="5" borderId="66" xfId="1" applyNumberFormat="1" applyFont="1" applyFill="1" applyBorder="1" applyAlignment="1">
      <alignment horizontal="right" vertical="center"/>
    </xf>
    <xf numFmtId="176" fontId="3" fillId="5" borderId="67" xfId="1" applyNumberFormat="1" applyFont="1" applyFill="1" applyBorder="1" applyAlignment="1">
      <alignment horizontal="right" vertical="center"/>
    </xf>
    <xf numFmtId="176" fontId="3" fillId="5" borderId="68" xfId="1" applyNumberFormat="1" applyFont="1" applyFill="1" applyBorder="1" applyAlignment="1">
      <alignment horizontal="right" vertical="center"/>
    </xf>
    <xf numFmtId="176" fontId="3" fillId="5" borderId="64" xfId="1" applyNumberFormat="1" applyFont="1" applyFill="1" applyBorder="1" applyAlignment="1">
      <alignment horizontal="right" vertical="center"/>
    </xf>
    <xf numFmtId="176" fontId="3" fillId="5" borderId="69" xfId="1" applyNumberFormat="1" applyFont="1" applyFill="1" applyBorder="1" applyAlignment="1">
      <alignment horizontal="right" vertical="center"/>
    </xf>
    <xf numFmtId="176" fontId="3" fillId="5" borderId="58" xfId="1" applyNumberFormat="1" applyFont="1" applyFill="1" applyBorder="1" applyAlignment="1">
      <alignment horizontal="right" vertical="center"/>
    </xf>
    <xf numFmtId="176" fontId="3" fillId="5" borderId="74" xfId="1" applyNumberFormat="1" applyFont="1" applyFill="1" applyBorder="1" applyAlignment="1">
      <alignment horizontal="right" vertical="center"/>
    </xf>
    <xf numFmtId="176" fontId="3" fillId="2" borderId="8" xfId="1" applyNumberFormat="1" applyFont="1" applyFill="1" applyBorder="1" applyAlignment="1">
      <alignment horizontal="right" vertical="center"/>
    </xf>
    <xf numFmtId="176" fontId="3" fillId="2" borderId="1" xfId="1" applyNumberFormat="1" applyFont="1" applyFill="1" applyBorder="1" applyAlignment="1">
      <alignment horizontal="right" vertical="center"/>
    </xf>
    <xf numFmtId="176" fontId="3" fillId="2" borderId="19" xfId="1" applyNumberFormat="1" applyFont="1" applyFill="1" applyBorder="1" applyAlignment="1">
      <alignment horizontal="right" vertical="center"/>
    </xf>
    <xf numFmtId="176" fontId="3" fillId="2" borderId="3" xfId="1" applyNumberFormat="1" applyFont="1" applyFill="1" applyBorder="1" applyAlignment="1">
      <alignment horizontal="right" vertical="center"/>
    </xf>
    <xf numFmtId="176" fontId="3" fillId="2" borderId="4" xfId="1" applyNumberFormat="1" applyFont="1" applyFill="1" applyBorder="1" applyAlignment="1">
      <alignment horizontal="right" vertical="center"/>
    </xf>
    <xf numFmtId="176" fontId="3" fillId="2" borderId="1" xfId="1" applyNumberFormat="1" applyFont="1" applyFill="1" applyBorder="1" applyAlignment="1">
      <alignment horizontal="left" vertical="center"/>
    </xf>
    <xf numFmtId="176" fontId="3" fillId="2" borderId="2" xfId="1" applyNumberFormat="1" applyFont="1" applyFill="1" applyBorder="1" applyAlignment="1">
      <alignment horizontal="right" vertical="center"/>
    </xf>
    <xf numFmtId="176" fontId="3" fillId="2" borderId="32" xfId="1" applyNumberFormat="1" applyFont="1" applyFill="1" applyBorder="1" applyAlignment="1">
      <alignment horizontal="right" vertical="center"/>
    </xf>
    <xf numFmtId="176" fontId="3" fillId="5" borderId="75" xfId="1" applyNumberFormat="1" applyFont="1" applyFill="1" applyBorder="1" applyAlignment="1">
      <alignment horizontal="right" vertical="center"/>
    </xf>
    <xf numFmtId="38" fontId="3" fillId="9" borderId="48" xfId="1" applyFont="1" applyFill="1" applyBorder="1">
      <alignment vertical="center"/>
    </xf>
    <xf numFmtId="38" fontId="3" fillId="9" borderId="49" xfId="1" applyFont="1" applyFill="1" applyBorder="1">
      <alignment vertical="center"/>
    </xf>
    <xf numFmtId="38" fontId="3" fillId="0" borderId="76" xfId="1" applyFont="1" applyBorder="1" applyAlignment="1">
      <alignment horizontal="center" vertical="center"/>
    </xf>
    <xf numFmtId="38" fontId="3" fillId="0" borderId="77" xfId="1" applyFont="1" applyBorder="1" applyAlignment="1">
      <alignment horizontal="center" vertical="center"/>
    </xf>
    <xf numFmtId="38" fontId="3" fillId="0" borderId="77" xfId="1" applyFont="1" applyFill="1" applyBorder="1" applyAlignment="1">
      <alignment horizontal="center" vertical="center"/>
    </xf>
    <xf numFmtId="38" fontId="3" fillId="0" borderId="77" xfId="1" applyFont="1" applyFill="1" applyBorder="1" applyAlignment="1">
      <alignment vertical="center"/>
    </xf>
    <xf numFmtId="176" fontId="3" fillId="0" borderId="77" xfId="1" applyNumberFormat="1" applyFont="1" applyFill="1" applyBorder="1" applyAlignment="1">
      <alignment horizontal="right" vertical="center"/>
    </xf>
    <xf numFmtId="38" fontId="3" fillId="0" borderId="43" xfId="1" applyFont="1" applyFill="1" applyBorder="1">
      <alignment vertical="center"/>
    </xf>
    <xf numFmtId="38" fontId="3" fillId="0" borderId="51" xfId="1" applyFont="1" applyFill="1" applyBorder="1">
      <alignment vertical="center"/>
    </xf>
    <xf numFmtId="38" fontId="4" fillId="0" borderId="77" xfId="1" applyFont="1" applyFill="1" applyBorder="1" applyAlignment="1">
      <alignment horizontal="left" vertical="center"/>
    </xf>
    <xf numFmtId="176" fontId="3" fillId="5" borderId="22" xfId="1" applyNumberFormat="1" applyFont="1" applyFill="1" applyBorder="1" applyAlignment="1">
      <alignment horizontal="right" vertical="center"/>
    </xf>
    <xf numFmtId="176" fontId="3" fillId="5" borderId="78" xfId="1" applyNumberFormat="1" applyFont="1" applyFill="1" applyBorder="1" applyAlignment="1">
      <alignment horizontal="right" vertical="center"/>
    </xf>
    <xf numFmtId="38" fontId="3" fillId="8" borderId="41" xfId="1" applyFont="1" applyFill="1" applyBorder="1">
      <alignment vertical="center"/>
    </xf>
    <xf numFmtId="38" fontId="3" fillId="8" borderId="56" xfId="1" applyFont="1" applyFill="1" applyBorder="1">
      <alignment vertical="center"/>
    </xf>
    <xf numFmtId="176" fontId="3" fillId="5" borderId="7" xfId="1" applyNumberFormat="1" applyFont="1" applyFill="1" applyBorder="1" applyAlignment="1">
      <alignment horizontal="right" vertical="center"/>
    </xf>
    <xf numFmtId="176" fontId="3" fillId="5" borderId="10" xfId="1" applyNumberFormat="1" applyFont="1" applyFill="1" applyBorder="1" applyAlignment="1">
      <alignment horizontal="right" vertical="center"/>
    </xf>
    <xf numFmtId="38" fontId="3" fillId="0" borderId="52" xfId="1" applyFont="1" applyFill="1" applyBorder="1">
      <alignment vertical="center"/>
    </xf>
    <xf numFmtId="38" fontId="3" fillId="0" borderId="53" xfId="1" applyFont="1" applyFill="1" applyBorder="1">
      <alignment vertical="center"/>
    </xf>
    <xf numFmtId="176" fontId="3" fillId="6" borderId="25" xfId="1" applyNumberFormat="1" applyFont="1" applyFill="1" applyBorder="1" applyAlignment="1">
      <alignment horizontal="right" vertical="center"/>
    </xf>
    <xf numFmtId="38" fontId="3" fillId="0" borderId="39" xfId="1" applyFont="1" applyFill="1" applyBorder="1" applyAlignment="1">
      <alignment vertical="center"/>
    </xf>
    <xf numFmtId="38" fontId="3" fillId="0" borderId="8" xfId="1" applyFont="1" applyFill="1" applyBorder="1" applyAlignment="1">
      <alignment vertical="center"/>
    </xf>
    <xf numFmtId="176" fontId="3" fillId="0" borderId="7" xfId="1" applyNumberFormat="1" applyFont="1" applyFill="1" applyBorder="1" applyAlignment="1">
      <alignment horizontal="right" vertical="center"/>
    </xf>
    <xf numFmtId="176" fontId="3" fillId="0" borderId="8" xfId="1" applyNumberFormat="1" applyFont="1" applyFill="1" applyBorder="1" applyAlignment="1">
      <alignment horizontal="right" vertical="center"/>
    </xf>
    <xf numFmtId="38" fontId="3" fillId="0" borderId="0" xfId="1" applyFont="1" applyFill="1">
      <alignment vertical="center"/>
    </xf>
    <xf numFmtId="38" fontId="3" fillId="0" borderId="36" xfId="1" applyFont="1" applyFill="1" applyBorder="1" applyAlignment="1">
      <alignment vertical="center"/>
    </xf>
    <xf numFmtId="38" fontId="3" fillId="0" borderId="1" xfId="1" applyFont="1" applyFill="1" applyBorder="1" applyAlignment="1">
      <alignment vertical="center"/>
    </xf>
    <xf numFmtId="176" fontId="3" fillId="0" borderId="10" xfId="1" applyNumberFormat="1" applyFont="1" applyFill="1" applyBorder="1" applyAlignment="1">
      <alignment horizontal="right" vertical="center"/>
    </xf>
    <xf numFmtId="176" fontId="3" fillId="0" borderId="1" xfId="1" applyNumberFormat="1" applyFont="1" applyFill="1" applyBorder="1" applyAlignment="1">
      <alignment horizontal="right" vertical="center"/>
    </xf>
    <xf numFmtId="38" fontId="3" fillId="0" borderId="59" xfId="1" applyFont="1" applyFill="1" applyBorder="1" applyAlignment="1">
      <alignment horizontal="center" vertical="center"/>
    </xf>
    <xf numFmtId="176" fontId="3" fillId="0" borderId="11" xfId="1" applyNumberFormat="1" applyFont="1" applyFill="1" applyBorder="1" applyAlignment="1">
      <alignment horizontal="right" vertical="center"/>
    </xf>
    <xf numFmtId="38" fontId="3" fillId="0" borderId="48" xfId="1" applyFont="1" applyFill="1" applyBorder="1">
      <alignment vertical="center"/>
    </xf>
    <xf numFmtId="38" fontId="3" fillId="0" borderId="49" xfId="1" applyFont="1" applyFill="1" applyBorder="1">
      <alignment vertical="center"/>
    </xf>
    <xf numFmtId="38" fontId="3" fillId="0" borderId="35" xfId="1" applyFont="1" applyFill="1" applyBorder="1" applyAlignment="1">
      <alignment vertical="center"/>
    </xf>
    <xf numFmtId="38" fontId="3" fillId="0" borderId="3" xfId="1" applyFont="1" applyFill="1" applyBorder="1" applyAlignment="1">
      <alignment vertical="center"/>
    </xf>
    <xf numFmtId="176" fontId="3" fillId="0" borderId="3" xfId="1" applyNumberFormat="1" applyFont="1" applyFill="1" applyBorder="1" applyAlignment="1">
      <alignment horizontal="right" vertical="center"/>
    </xf>
    <xf numFmtId="176" fontId="3" fillId="0" borderId="24" xfId="1" applyNumberFormat="1" applyFont="1" applyFill="1" applyBorder="1" applyAlignment="1">
      <alignment horizontal="right" vertical="center"/>
    </xf>
    <xf numFmtId="176" fontId="3" fillId="0" borderId="13" xfId="1" applyNumberFormat="1" applyFont="1" applyFill="1" applyBorder="1" applyAlignment="1">
      <alignment horizontal="right" vertical="center"/>
    </xf>
    <xf numFmtId="38" fontId="3" fillId="0" borderId="63" xfId="1" applyFont="1" applyFill="1" applyBorder="1" applyAlignment="1">
      <alignment horizontal="center" vertical="center"/>
    </xf>
    <xf numFmtId="38" fontId="3" fillId="0" borderId="52" xfId="1" applyFont="1" applyFill="1" applyBorder="1" applyAlignment="1">
      <alignment horizontal="left" vertical="center"/>
    </xf>
    <xf numFmtId="38" fontId="3" fillId="0" borderId="53" xfId="1" applyFont="1" applyFill="1" applyBorder="1" applyAlignment="1">
      <alignment horizontal="left" vertical="center"/>
    </xf>
    <xf numFmtId="176" fontId="3" fillId="0" borderId="2" xfId="1" applyNumberFormat="1" applyFont="1" applyFill="1" applyBorder="1" applyAlignment="1">
      <alignment horizontal="right" vertical="center"/>
    </xf>
    <xf numFmtId="176" fontId="3" fillId="0" borderId="12" xfId="1" applyNumberFormat="1" applyFont="1" applyFill="1" applyBorder="1" applyAlignment="1">
      <alignment horizontal="right" vertical="center"/>
    </xf>
    <xf numFmtId="38" fontId="3" fillId="0" borderId="41" xfId="1" applyFont="1" applyFill="1" applyBorder="1">
      <alignment vertical="center"/>
    </xf>
    <xf numFmtId="38" fontId="3" fillId="0" borderId="56" xfId="1" applyFont="1" applyFill="1" applyBorder="1">
      <alignment vertical="center"/>
    </xf>
    <xf numFmtId="176" fontId="3" fillId="0" borderId="9" xfId="1" applyNumberFormat="1" applyFont="1" applyFill="1" applyBorder="1" applyAlignment="1">
      <alignment horizontal="right" vertical="center"/>
    </xf>
    <xf numFmtId="38" fontId="3" fillId="0" borderId="38" xfId="1" applyFont="1" applyFill="1" applyBorder="1" applyAlignment="1">
      <alignment vertical="center"/>
    </xf>
    <xf numFmtId="38" fontId="3" fillId="0" borderId="2" xfId="1" applyFont="1" applyFill="1" applyBorder="1" applyAlignment="1">
      <alignment vertical="center"/>
    </xf>
    <xf numFmtId="176" fontId="3" fillId="0" borderId="23" xfId="1" applyNumberFormat="1" applyFont="1" applyFill="1" applyBorder="1" applyAlignment="1">
      <alignment horizontal="right" vertical="center"/>
    </xf>
    <xf numFmtId="38" fontId="3" fillId="0" borderId="61" xfId="1" applyFont="1" applyFill="1" applyBorder="1" applyAlignment="1">
      <alignment horizontal="center" vertical="center"/>
    </xf>
    <xf numFmtId="38" fontId="3" fillId="0" borderId="44" xfId="1" applyFont="1" applyFill="1" applyBorder="1" applyAlignment="1">
      <alignment horizontal="left" vertical="center"/>
    </xf>
    <xf numFmtId="38" fontId="3" fillId="0" borderId="46" xfId="1" applyFont="1" applyFill="1" applyBorder="1" applyAlignment="1">
      <alignment horizontal="left" vertical="center"/>
    </xf>
    <xf numFmtId="176" fontId="3" fillId="0" borderId="25" xfId="1" applyNumberFormat="1" applyFont="1" applyFill="1" applyBorder="1" applyAlignment="1">
      <alignment horizontal="right" vertical="center"/>
    </xf>
    <xf numFmtId="38" fontId="3" fillId="0" borderId="37" xfId="1" applyFont="1" applyFill="1" applyBorder="1" applyAlignment="1">
      <alignment vertical="center"/>
    </xf>
    <xf numFmtId="38" fontId="3" fillId="0" borderId="19" xfId="1" applyFont="1" applyFill="1" applyBorder="1" applyAlignment="1">
      <alignment vertical="center"/>
    </xf>
    <xf numFmtId="176" fontId="3" fillId="0" borderId="19" xfId="1" applyNumberFormat="1" applyFont="1" applyFill="1" applyBorder="1" applyAlignment="1">
      <alignment horizontal="right" vertical="center"/>
    </xf>
    <xf numFmtId="176" fontId="3" fillId="0" borderId="18" xfId="1" applyNumberFormat="1" applyFont="1" applyFill="1" applyBorder="1" applyAlignment="1">
      <alignment horizontal="right" vertical="center"/>
    </xf>
    <xf numFmtId="176" fontId="3" fillId="0" borderId="20" xfId="1" applyNumberFormat="1" applyFont="1" applyFill="1" applyBorder="1" applyAlignment="1">
      <alignment horizontal="right" vertical="center"/>
    </xf>
    <xf numFmtId="176" fontId="3" fillId="5" borderId="25" xfId="1" applyNumberFormat="1" applyFont="1" applyFill="1" applyBorder="1" applyAlignment="1">
      <alignment horizontal="right" vertical="center"/>
    </xf>
    <xf numFmtId="176" fontId="3" fillId="5" borderId="61" xfId="1" applyNumberFormat="1" applyFont="1" applyFill="1" applyBorder="1" applyAlignment="1">
      <alignment horizontal="right" vertical="center"/>
    </xf>
    <xf numFmtId="176" fontId="3" fillId="5" borderId="79" xfId="1" applyNumberFormat="1" applyFont="1" applyFill="1" applyBorder="1" applyAlignment="1">
      <alignment horizontal="right" vertical="center"/>
    </xf>
    <xf numFmtId="176" fontId="3" fillId="5" borderId="42" xfId="1" applyNumberFormat="1" applyFont="1" applyFill="1" applyBorder="1" applyAlignment="1">
      <alignment horizontal="right" vertical="center"/>
    </xf>
    <xf numFmtId="176" fontId="3" fillId="5" borderId="52" xfId="1" applyNumberFormat="1" applyFont="1" applyFill="1" applyBorder="1" applyAlignment="1">
      <alignment horizontal="right" vertical="center"/>
    </xf>
    <xf numFmtId="176" fontId="3" fillId="5" borderId="41" xfId="1" applyNumberFormat="1" applyFont="1" applyFill="1" applyBorder="1" applyAlignment="1">
      <alignment horizontal="right" vertical="center"/>
    </xf>
    <xf numFmtId="38" fontId="3" fillId="10" borderId="42" xfId="1" applyFont="1" applyFill="1" applyBorder="1">
      <alignment vertical="center"/>
    </xf>
    <xf numFmtId="38" fontId="3" fillId="10" borderId="50" xfId="1" applyFont="1" applyFill="1" applyBorder="1">
      <alignment vertical="center"/>
    </xf>
    <xf numFmtId="38" fontId="3" fillId="10" borderId="52" xfId="1" applyFont="1" applyFill="1" applyBorder="1" applyAlignment="1">
      <alignment horizontal="left" vertical="center"/>
    </xf>
    <xf numFmtId="38" fontId="3" fillId="10" borderId="53" xfId="1" applyFont="1" applyFill="1" applyBorder="1" applyAlignment="1">
      <alignment horizontal="left" vertical="center"/>
    </xf>
    <xf numFmtId="38" fontId="3" fillId="8" borderId="1" xfId="1" applyFont="1" applyFill="1" applyBorder="1">
      <alignment vertical="center"/>
    </xf>
    <xf numFmtId="38" fontId="3" fillId="11" borderId="48" xfId="1" applyFont="1" applyFill="1" applyBorder="1">
      <alignment vertical="center"/>
    </xf>
    <xf numFmtId="38" fontId="3" fillId="11" borderId="49" xfId="1" applyFont="1" applyFill="1" applyBorder="1">
      <alignment vertical="center"/>
    </xf>
    <xf numFmtId="38" fontId="3" fillId="11" borderId="42" xfId="1" applyFont="1" applyFill="1" applyBorder="1">
      <alignment vertical="center"/>
    </xf>
    <xf numFmtId="38" fontId="3" fillId="11" borderId="50" xfId="1" applyFont="1" applyFill="1" applyBorder="1">
      <alignment vertical="center"/>
    </xf>
    <xf numFmtId="38" fontId="3" fillId="11" borderId="43" xfId="1" applyFont="1" applyFill="1" applyBorder="1" applyAlignment="1">
      <alignment horizontal="left" vertical="center"/>
    </xf>
    <xf numFmtId="38" fontId="3" fillId="11" borderId="51" xfId="1" applyFont="1" applyFill="1" applyBorder="1" applyAlignment="1">
      <alignment horizontal="left" vertical="center"/>
    </xf>
    <xf numFmtId="38" fontId="5" fillId="0" borderId="0" xfId="1" applyFont="1">
      <alignment vertical="center"/>
    </xf>
    <xf numFmtId="38" fontId="3" fillId="0" borderId="63" xfId="1" applyFont="1" applyBorder="1" applyAlignment="1">
      <alignment horizontal="center" vertical="center"/>
    </xf>
    <xf numFmtId="38" fontId="3" fillId="0" borderId="53" xfId="1" applyFont="1" applyBorder="1" applyAlignment="1">
      <alignment horizontal="left" vertical="center"/>
    </xf>
    <xf numFmtId="38" fontId="3" fillId="0" borderId="52" xfId="1" applyFont="1" applyBorder="1" applyAlignment="1">
      <alignment horizontal="left" vertical="center"/>
    </xf>
    <xf numFmtId="38" fontId="3" fillId="6" borderId="64" xfId="1" applyFont="1" applyFill="1" applyBorder="1" applyAlignment="1">
      <alignment horizontal="center" vertical="center"/>
    </xf>
    <xf numFmtId="176" fontId="3" fillId="6" borderId="66" xfId="1" applyNumberFormat="1" applyFont="1" applyFill="1" applyBorder="1" applyAlignment="1">
      <alignment horizontal="right" vertical="center"/>
    </xf>
    <xf numFmtId="176" fontId="3" fillId="6" borderId="67" xfId="1" applyNumberFormat="1" applyFont="1" applyFill="1" applyBorder="1" applyAlignment="1">
      <alignment horizontal="right" vertical="center"/>
    </xf>
    <xf numFmtId="176" fontId="3" fillId="6" borderId="68" xfId="1" applyNumberFormat="1" applyFont="1" applyFill="1" applyBorder="1" applyAlignment="1">
      <alignment horizontal="right" vertical="center"/>
    </xf>
    <xf numFmtId="176" fontId="3" fillId="6" borderId="64" xfId="1" applyNumberFormat="1" applyFont="1" applyFill="1" applyBorder="1" applyAlignment="1">
      <alignment horizontal="right" vertical="center"/>
    </xf>
    <xf numFmtId="176" fontId="3" fillId="6" borderId="58" xfId="1" applyNumberFormat="1" applyFont="1" applyFill="1" applyBorder="1" applyAlignment="1">
      <alignment horizontal="right" vertical="center"/>
    </xf>
    <xf numFmtId="176" fontId="3" fillId="6" borderId="74" xfId="1" applyNumberFormat="1" applyFont="1" applyFill="1" applyBorder="1" applyAlignment="1">
      <alignment horizontal="right" vertical="center"/>
    </xf>
    <xf numFmtId="38" fontId="3" fillId="5" borderId="38" xfId="1" applyFont="1" applyFill="1" applyBorder="1" applyAlignment="1">
      <alignment horizontal="center" vertical="center"/>
    </xf>
    <xf numFmtId="176" fontId="3" fillId="5" borderId="36" xfId="1" applyNumberFormat="1" applyFont="1" applyFill="1" applyBorder="1" applyAlignment="1">
      <alignment horizontal="right" vertical="center"/>
    </xf>
    <xf numFmtId="176" fontId="3" fillId="5" borderId="37" xfId="1" applyNumberFormat="1" applyFont="1" applyFill="1" applyBorder="1" applyAlignment="1">
      <alignment horizontal="right" vertical="center"/>
    </xf>
    <xf numFmtId="176" fontId="3" fillId="5" borderId="39" xfId="1" applyNumberFormat="1" applyFont="1" applyFill="1" applyBorder="1" applyAlignment="1">
      <alignment horizontal="right" vertical="center"/>
    </xf>
    <xf numFmtId="176" fontId="3" fillId="5" borderId="35" xfId="1" applyNumberFormat="1" applyFont="1" applyFill="1" applyBorder="1" applyAlignment="1">
      <alignment horizontal="right" vertical="center"/>
    </xf>
    <xf numFmtId="176" fontId="3" fillId="5" borderId="38" xfId="1" applyNumberFormat="1" applyFont="1" applyFill="1" applyBorder="1" applyAlignment="1">
      <alignment horizontal="right" vertical="center"/>
    </xf>
    <xf numFmtId="176" fontId="3" fillId="5" borderId="40" xfId="1" applyNumberFormat="1" applyFont="1" applyFill="1" applyBorder="1" applyAlignment="1">
      <alignment horizontal="right" vertical="center"/>
    </xf>
    <xf numFmtId="38" fontId="3" fillId="12" borderId="12" xfId="1" applyFont="1" applyFill="1" applyBorder="1" applyAlignment="1">
      <alignment horizontal="center" vertical="center"/>
    </xf>
    <xf numFmtId="176" fontId="3" fillId="12" borderId="25" xfId="1" applyNumberFormat="1" applyFont="1" applyFill="1" applyBorder="1" applyAlignment="1">
      <alignment horizontal="right" vertical="center"/>
    </xf>
    <xf numFmtId="176" fontId="3" fillId="12" borderId="13" xfId="1" applyNumberFormat="1" applyFont="1" applyFill="1" applyBorder="1" applyAlignment="1">
      <alignment horizontal="right" vertical="center"/>
    </xf>
    <xf numFmtId="176" fontId="3" fillId="12" borderId="11" xfId="1" applyNumberFormat="1" applyFont="1" applyFill="1" applyBorder="1" applyAlignment="1">
      <alignment horizontal="right" vertical="center"/>
    </xf>
    <xf numFmtId="176" fontId="3" fillId="12" borderId="20" xfId="1" applyNumberFormat="1" applyFont="1" applyFill="1" applyBorder="1" applyAlignment="1">
      <alignment horizontal="right" vertical="center"/>
    </xf>
    <xf numFmtId="176" fontId="3" fillId="12" borderId="12" xfId="1" applyNumberFormat="1" applyFont="1" applyFill="1" applyBorder="1" applyAlignment="1">
      <alignment horizontal="right" vertical="center"/>
    </xf>
    <xf numFmtId="176" fontId="3" fillId="12" borderId="15" xfId="1" applyNumberFormat="1" applyFont="1" applyFill="1" applyBorder="1" applyAlignment="1">
      <alignment horizontal="right" vertical="center"/>
    </xf>
    <xf numFmtId="176" fontId="3" fillId="12" borderId="17" xfId="1" applyNumberFormat="1" applyFont="1" applyFill="1" applyBorder="1" applyAlignment="1">
      <alignment horizontal="right" vertical="center"/>
    </xf>
    <xf numFmtId="176" fontId="3" fillId="12" borderId="26" xfId="1" applyNumberFormat="1" applyFont="1" applyFill="1" applyBorder="1" applyAlignment="1">
      <alignment horizontal="right" vertical="center"/>
    </xf>
    <xf numFmtId="176" fontId="3" fillId="12" borderId="9" xfId="1" applyNumberFormat="1" applyFont="1" applyFill="1" applyBorder="1" applyAlignment="1">
      <alignment horizontal="right" vertical="center"/>
    </xf>
    <xf numFmtId="176" fontId="3" fillId="12" borderId="30" xfId="1" applyNumberFormat="1" applyFont="1" applyFill="1" applyBorder="1" applyAlignment="1">
      <alignment horizontal="right" vertical="center"/>
    </xf>
    <xf numFmtId="176" fontId="3" fillId="12" borderId="33" xfId="1" applyNumberFormat="1" applyFont="1" applyFill="1" applyBorder="1" applyAlignment="1">
      <alignment horizontal="right" vertical="center"/>
    </xf>
    <xf numFmtId="38" fontId="3" fillId="5" borderId="88" xfId="1" applyFont="1" applyFill="1" applyBorder="1" applyAlignment="1">
      <alignment horizontal="center" vertical="center"/>
    </xf>
    <xf numFmtId="176" fontId="3" fillId="5" borderId="87" xfId="1" applyNumberFormat="1" applyFont="1" applyFill="1" applyBorder="1" applyAlignment="1">
      <alignment horizontal="right" vertical="center"/>
    </xf>
    <xf numFmtId="176" fontId="3" fillId="5" borderId="91" xfId="1" applyNumberFormat="1" applyFont="1" applyFill="1" applyBorder="1" applyAlignment="1">
      <alignment horizontal="right" vertical="center"/>
    </xf>
    <xf numFmtId="176" fontId="3" fillId="5" borderId="92" xfId="1" applyNumberFormat="1" applyFont="1" applyFill="1" applyBorder="1" applyAlignment="1">
      <alignment horizontal="right" vertical="center"/>
    </xf>
    <xf numFmtId="176" fontId="3" fillId="5" borderId="86" xfId="1" applyNumberFormat="1" applyFont="1" applyFill="1" applyBorder="1" applyAlignment="1">
      <alignment horizontal="right" vertical="center"/>
    </xf>
    <xf numFmtId="176" fontId="3" fillId="5" borderId="90" xfId="1" applyNumberFormat="1" applyFont="1" applyFill="1" applyBorder="1" applyAlignment="1">
      <alignment horizontal="right" vertical="center"/>
    </xf>
    <xf numFmtId="176" fontId="3" fillId="5" borderId="88" xfId="1" applyNumberFormat="1" applyFont="1" applyFill="1" applyBorder="1" applyAlignment="1">
      <alignment horizontal="right" vertical="center"/>
    </xf>
    <xf numFmtId="176" fontId="3" fillId="5" borderId="93" xfId="1" applyNumberFormat="1" applyFont="1" applyFill="1" applyBorder="1" applyAlignment="1">
      <alignment horizontal="right" vertical="center"/>
    </xf>
    <xf numFmtId="176" fontId="3" fillId="12" borderId="11" xfId="1" applyNumberFormat="1" applyFont="1" applyFill="1" applyBorder="1" applyAlignment="1">
      <alignment horizontal="left" vertical="center"/>
    </xf>
    <xf numFmtId="176" fontId="3" fillId="5" borderId="94" xfId="1" applyNumberFormat="1" applyFont="1" applyFill="1" applyBorder="1" applyAlignment="1">
      <alignment horizontal="right" vertical="center"/>
    </xf>
    <xf numFmtId="176" fontId="3" fillId="5" borderId="95" xfId="1" applyNumberFormat="1" applyFont="1" applyFill="1" applyBorder="1" applyAlignment="1">
      <alignment horizontal="right" vertical="center"/>
    </xf>
    <xf numFmtId="177" fontId="3" fillId="0" borderId="8" xfId="1" applyNumberFormat="1" applyFont="1" applyBorder="1" applyAlignment="1">
      <alignment horizontal="center" vertical="center"/>
    </xf>
    <xf numFmtId="177" fontId="3" fillId="0" borderId="58" xfId="1" applyNumberFormat="1" applyFont="1" applyBorder="1" applyAlignment="1">
      <alignment horizontal="center" vertical="center"/>
    </xf>
    <xf numFmtId="177" fontId="3" fillId="0" borderId="9" xfId="1" applyNumberFormat="1" applyFont="1" applyBorder="1" applyAlignment="1">
      <alignment horizontal="center" vertical="center"/>
    </xf>
    <xf numFmtId="38" fontId="3" fillId="0" borderId="44" xfId="1" applyFont="1" applyBorder="1" applyAlignment="1">
      <alignment horizontal="center" vertical="center"/>
    </xf>
    <xf numFmtId="38" fontId="3" fillId="0" borderId="46" xfId="1" applyFont="1" applyBorder="1" applyAlignment="1">
      <alignment horizontal="center" vertical="center"/>
    </xf>
    <xf numFmtId="38" fontId="3" fillId="0" borderId="45" xfId="1" applyFont="1" applyBorder="1" applyAlignment="1">
      <alignment horizontal="center" vertical="center"/>
    </xf>
    <xf numFmtId="38" fontId="3" fillId="0" borderId="47" xfId="1" applyFont="1" applyBorder="1" applyAlignment="1">
      <alignment horizontal="center" vertical="center"/>
    </xf>
    <xf numFmtId="38" fontId="3" fillId="0" borderId="25" xfId="1" applyFont="1" applyFill="1" applyBorder="1" applyAlignment="1">
      <alignment horizontal="left" vertical="center"/>
    </xf>
    <xf numFmtId="38" fontId="3" fillId="0" borderId="26" xfId="1" applyFont="1" applyFill="1" applyBorder="1" applyAlignment="1">
      <alignment horizontal="left" vertical="center"/>
    </xf>
    <xf numFmtId="176" fontId="3" fillId="6" borderId="25" xfId="1" applyNumberFormat="1" applyFont="1" applyFill="1" applyBorder="1" applyAlignment="1">
      <alignment horizontal="right" vertical="center"/>
    </xf>
    <xf numFmtId="176" fontId="3" fillId="6" borderId="13" xfId="1" applyNumberFormat="1" applyFont="1" applyFill="1" applyBorder="1" applyAlignment="1">
      <alignment horizontal="right" vertical="center"/>
    </xf>
    <xf numFmtId="38" fontId="3" fillId="0" borderId="61" xfId="1" applyFont="1" applyBorder="1" applyAlignment="1">
      <alignment horizontal="center" vertical="center"/>
    </xf>
    <xf numFmtId="38" fontId="3" fillId="0" borderId="62" xfId="1" applyFont="1" applyBorder="1" applyAlignment="1">
      <alignment horizontal="center" vertical="center"/>
    </xf>
    <xf numFmtId="38" fontId="3" fillId="0" borderId="44" xfId="1" applyFont="1" applyBorder="1" applyAlignment="1">
      <alignment horizontal="left" vertical="center"/>
    </xf>
    <xf numFmtId="38" fontId="3" fillId="0" borderId="48" xfId="1" applyFont="1" applyBorder="1" applyAlignment="1">
      <alignment horizontal="left" vertical="center"/>
    </xf>
    <xf numFmtId="38" fontId="3" fillId="0" borderId="46" xfId="1" applyFont="1" applyBorder="1" applyAlignment="1">
      <alignment horizontal="left" vertical="center"/>
    </xf>
    <xf numFmtId="38" fontId="3" fillId="0" borderId="49" xfId="1" applyFont="1" applyBorder="1" applyAlignment="1">
      <alignment horizontal="left" vertical="center"/>
    </xf>
    <xf numFmtId="176" fontId="3" fillId="5" borderId="27" xfId="1" applyNumberFormat="1" applyFont="1" applyFill="1" applyBorder="1" applyAlignment="1">
      <alignment horizontal="right" vertical="center"/>
    </xf>
    <xf numFmtId="176" fontId="3" fillId="5" borderId="3" xfId="1" applyNumberFormat="1" applyFont="1" applyFill="1" applyBorder="1" applyAlignment="1">
      <alignment horizontal="right" vertical="center"/>
    </xf>
    <xf numFmtId="38" fontId="3" fillId="0" borderId="63" xfId="1" applyFont="1" applyBorder="1" applyAlignment="1">
      <alignment horizontal="center" vertical="center"/>
    </xf>
    <xf numFmtId="38" fontId="3" fillId="7" borderId="52" xfId="1" applyFont="1" applyFill="1" applyBorder="1" applyAlignment="1">
      <alignment horizontal="left" vertical="center"/>
    </xf>
    <xf numFmtId="38" fontId="3" fillId="7" borderId="48" xfId="1" applyFont="1" applyFill="1" applyBorder="1" applyAlignment="1">
      <alignment horizontal="left" vertical="center"/>
    </xf>
    <xf numFmtId="38" fontId="3" fillId="7" borderId="53" xfId="1" applyFont="1" applyFill="1" applyBorder="1" applyAlignment="1">
      <alignment horizontal="left" vertical="center"/>
    </xf>
    <xf numFmtId="38" fontId="3" fillId="7" borderId="49" xfId="1" applyFont="1" applyFill="1" applyBorder="1" applyAlignment="1">
      <alignment horizontal="left" vertical="center"/>
    </xf>
    <xf numFmtId="176" fontId="3" fillId="5" borderId="65" xfId="1" applyNumberFormat="1" applyFont="1" applyFill="1" applyBorder="1" applyAlignment="1">
      <alignment horizontal="right" vertical="center"/>
    </xf>
    <xf numFmtId="176" fontId="3" fillId="5" borderId="66" xfId="1" applyNumberFormat="1" applyFont="1" applyFill="1" applyBorder="1" applyAlignment="1">
      <alignment horizontal="right" vertical="center"/>
    </xf>
    <xf numFmtId="38" fontId="3" fillId="0" borderId="52" xfId="1" applyFont="1" applyBorder="1" applyAlignment="1">
      <alignment horizontal="left" vertical="center"/>
    </xf>
    <xf numFmtId="38" fontId="3" fillId="0" borderId="53" xfId="1" applyFont="1" applyBorder="1" applyAlignment="1">
      <alignment horizontal="left" vertical="center"/>
    </xf>
    <xf numFmtId="176" fontId="3" fillId="5" borderId="2" xfId="1" applyNumberFormat="1" applyFont="1" applyFill="1" applyBorder="1" applyAlignment="1">
      <alignment horizontal="right" vertical="center"/>
    </xf>
    <xf numFmtId="176" fontId="3" fillId="6" borderId="12" xfId="1" applyNumberFormat="1" applyFont="1" applyFill="1" applyBorder="1" applyAlignment="1">
      <alignment horizontal="right" vertical="center"/>
    </xf>
    <xf numFmtId="176" fontId="3" fillId="5" borderId="64" xfId="1" applyNumberFormat="1" applyFont="1" applyFill="1" applyBorder="1" applyAlignment="1">
      <alignment horizontal="right" vertical="center"/>
    </xf>
    <xf numFmtId="176" fontId="3" fillId="2" borderId="14" xfId="1" applyNumberFormat="1" applyFont="1" applyFill="1" applyBorder="1" applyAlignment="1">
      <alignment horizontal="right" vertical="center"/>
    </xf>
    <xf numFmtId="176" fontId="3" fillId="2" borderId="16" xfId="1" applyNumberFormat="1" applyFont="1" applyFill="1" applyBorder="1" applyAlignment="1">
      <alignment horizontal="right" vertical="center"/>
    </xf>
    <xf numFmtId="176" fontId="3" fillId="6" borderId="15" xfId="1" applyNumberFormat="1" applyFont="1" applyFill="1" applyBorder="1" applyAlignment="1">
      <alignment horizontal="right" vertical="center"/>
    </xf>
    <xf numFmtId="176" fontId="3" fillId="6" borderId="17" xfId="1" applyNumberFormat="1" applyFont="1" applyFill="1" applyBorder="1" applyAlignment="1">
      <alignment horizontal="right" vertical="center"/>
    </xf>
    <xf numFmtId="176" fontId="3" fillId="5" borderId="5" xfId="1" applyNumberFormat="1" applyFont="1" applyFill="1" applyBorder="1" applyAlignment="1">
      <alignment horizontal="right" vertical="center"/>
    </xf>
    <xf numFmtId="176" fontId="3" fillId="5" borderId="6" xfId="1" applyNumberFormat="1" applyFont="1" applyFill="1" applyBorder="1" applyAlignment="1">
      <alignment horizontal="right" vertical="center"/>
    </xf>
    <xf numFmtId="176" fontId="3" fillId="5" borderId="70" xfId="1" applyNumberFormat="1" applyFont="1" applyFill="1" applyBorder="1" applyAlignment="1">
      <alignment horizontal="right" vertical="center"/>
    </xf>
    <xf numFmtId="176" fontId="3" fillId="5" borderId="71" xfId="1" applyNumberFormat="1" applyFont="1" applyFill="1" applyBorder="1" applyAlignment="1">
      <alignment horizontal="right" vertical="center"/>
    </xf>
    <xf numFmtId="176" fontId="3" fillId="2" borderId="5" xfId="1" applyNumberFormat="1" applyFont="1" applyFill="1" applyBorder="1" applyAlignment="1">
      <alignment horizontal="right" vertical="center"/>
    </xf>
    <xf numFmtId="176" fontId="3" fillId="2" borderId="6" xfId="1" applyNumberFormat="1" applyFont="1" applyFill="1" applyBorder="1" applyAlignment="1">
      <alignment horizontal="right" vertical="center"/>
    </xf>
    <xf numFmtId="176" fontId="3" fillId="5" borderId="28" xfId="1" applyNumberFormat="1" applyFont="1" applyFill="1" applyBorder="1" applyAlignment="1">
      <alignment horizontal="right" vertical="center"/>
    </xf>
    <xf numFmtId="176" fontId="3" fillId="6" borderId="26" xfId="1" applyNumberFormat="1" applyFont="1" applyFill="1" applyBorder="1" applyAlignment="1">
      <alignment horizontal="right" vertical="center"/>
    </xf>
    <xf numFmtId="176" fontId="3" fillId="5" borderId="72" xfId="1" applyNumberFormat="1" applyFont="1" applyFill="1" applyBorder="1" applyAlignment="1">
      <alignment horizontal="right" vertical="center"/>
    </xf>
    <xf numFmtId="38" fontId="3" fillId="0" borderId="54" xfId="1" applyFont="1" applyBorder="1" applyAlignment="1">
      <alignment horizontal="left" vertical="center"/>
    </xf>
    <xf numFmtId="38" fontId="3" fillId="0" borderId="55" xfId="1" applyFont="1" applyBorder="1" applyAlignment="1">
      <alignment horizontal="left" vertical="center"/>
    </xf>
    <xf numFmtId="176" fontId="3" fillId="6" borderId="30" xfId="1" applyNumberFormat="1" applyFont="1" applyFill="1" applyBorder="1" applyAlignment="1">
      <alignment horizontal="right" vertical="center"/>
    </xf>
    <xf numFmtId="38" fontId="3" fillId="0" borderId="45" xfId="1" applyFont="1" applyBorder="1" applyAlignment="1">
      <alignment horizontal="left" vertical="center"/>
    </xf>
    <xf numFmtId="38" fontId="3" fillId="0" borderId="47" xfId="1" applyFont="1" applyBorder="1" applyAlignment="1">
      <alignment horizontal="left" vertical="center"/>
    </xf>
    <xf numFmtId="176" fontId="3" fillId="5" borderId="29" xfId="1" applyNumberFormat="1" applyFont="1" applyFill="1" applyBorder="1" applyAlignment="1">
      <alignment horizontal="right" vertical="center"/>
    </xf>
    <xf numFmtId="176" fontId="3" fillId="5" borderId="73" xfId="1" applyNumberFormat="1" applyFont="1" applyFill="1" applyBorder="1" applyAlignment="1">
      <alignment horizontal="right" vertical="center"/>
    </xf>
    <xf numFmtId="38" fontId="3" fillId="0" borderId="34" xfId="1" applyFont="1" applyBorder="1" applyAlignment="1">
      <alignment horizontal="center" vertical="center"/>
    </xf>
    <xf numFmtId="38" fontId="3" fillId="0" borderId="57" xfId="1" applyFont="1" applyBorder="1" applyAlignment="1">
      <alignment horizontal="center" vertical="center"/>
    </xf>
    <xf numFmtId="176" fontId="3" fillId="6" borderId="65" xfId="1" applyNumberFormat="1" applyFont="1" applyFill="1" applyBorder="1" applyAlignment="1">
      <alignment horizontal="right" vertical="center"/>
    </xf>
    <xf numFmtId="176" fontId="3" fillId="6" borderId="66" xfId="1" applyNumberFormat="1" applyFont="1" applyFill="1" applyBorder="1" applyAlignment="1">
      <alignment horizontal="right" vertical="center"/>
    </xf>
    <xf numFmtId="176" fontId="3" fillId="5" borderId="80" xfId="1" applyNumberFormat="1" applyFont="1" applyFill="1" applyBorder="1" applyAlignment="1">
      <alignment horizontal="right" vertical="center"/>
    </xf>
    <xf numFmtId="176" fontId="3" fillId="5" borderId="35" xfId="1" applyNumberFormat="1" applyFont="1" applyFill="1" applyBorder="1" applyAlignment="1">
      <alignment horizontal="right" vertical="center"/>
    </xf>
    <xf numFmtId="177" fontId="3" fillId="0" borderId="41" xfId="1" applyNumberFormat="1" applyFont="1" applyBorder="1" applyAlignment="1">
      <alignment horizontal="center" vertical="center"/>
    </xf>
    <xf numFmtId="177" fontId="3" fillId="0" borderId="86" xfId="1" applyNumberFormat="1" applyFont="1" applyBorder="1" applyAlignment="1">
      <alignment horizontal="center" vertical="center"/>
    </xf>
    <xf numFmtId="177" fontId="3" fillId="0" borderId="56" xfId="1" applyNumberFormat="1" applyFont="1" applyBorder="1" applyAlignment="1">
      <alignment horizontal="center" vertical="center"/>
    </xf>
    <xf numFmtId="176" fontId="3" fillId="5" borderId="89" xfId="1" applyNumberFormat="1" applyFont="1" applyFill="1" applyBorder="1" applyAlignment="1">
      <alignment horizontal="right" vertical="center"/>
    </xf>
    <xf numFmtId="176" fontId="3" fillId="5" borderId="90" xfId="1" applyNumberFormat="1" applyFont="1" applyFill="1" applyBorder="1" applyAlignment="1">
      <alignment horizontal="right" vertical="center"/>
    </xf>
    <xf numFmtId="176" fontId="3" fillId="6" borderId="64" xfId="1" applyNumberFormat="1" applyFont="1" applyFill="1" applyBorder="1" applyAlignment="1">
      <alignment horizontal="right" vertical="center"/>
    </xf>
    <xf numFmtId="176" fontId="3" fillId="5" borderId="38" xfId="1" applyNumberFormat="1" applyFont="1" applyFill="1" applyBorder="1" applyAlignment="1">
      <alignment horizontal="right" vertical="center"/>
    </xf>
    <xf numFmtId="176" fontId="3" fillId="5" borderId="61" xfId="1" applyNumberFormat="1" applyFont="1" applyFill="1" applyBorder="1" applyAlignment="1">
      <alignment horizontal="right" vertical="center"/>
    </xf>
    <xf numFmtId="176" fontId="3" fillId="5" borderId="62" xfId="1" applyNumberFormat="1" applyFont="1" applyFill="1" applyBorder="1" applyAlignment="1">
      <alignment horizontal="right" vertical="center"/>
    </xf>
    <xf numFmtId="176" fontId="3" fillId="5" borderId="88" xfId="1" applyNumberFormat="1" applyFont="1" applyFill="1" applyBorder="1" applyAlignment="1">
      <alignment horizontal="right" vertical="center"/>
    </xf>
    <xf numFmtId="176" fontId="3" fillId="5" borderId="63" xfId="1" applyNumberFormat="1" applyFont="1" applyFill="1" applyBorder="1" applyAlignment="1">
      <alignment horizontal="right" vertical="center"/>
    </xf>
    <xf numFmtId="176" fontId="3" fillId="6" borderId="70" xfId="1" applyNumberFormat="1" applyFont="1" applyFill="1" applyBorder="1" applyAlignment="1">
      <alignment horizontal="right" vertical="center"/>
    </xf>
    <xf numFmtId="176" fontId="3" fillId="6" borderId="71" xfId="1" applyNumberFormat="1" applyFont="1" applyFill="1" applyBorder="1" applyAlignment="1">
      <alignment horizontal="right" vertical="center"/>
    </xf>
    <xf numFmtId="176" fontId="3" fillId="5" borderId="81" xfId="1" applyNumberFormat="1" applyFont="1" applyFill="1" applyBorder="1" applyAlignment="1">
      <alignment horizontal="right" vertical="center"/>
    </xf>
    <xf numFmtId="176" fontId="3" fillId="5" borderId="82" xfId="1" applyNumberFormat="1" applyFont="1" applyFill="1" applyBorder="1" applyAlignment="1">
      <alignment horizontal="right" vertical="center"/>
    </xf>
    <xf numFmtId="176" fontId="3" fillId="5" borderId="85" xfId="1" applyNumberFormat="1" applyFont="1" applyFill="1" applyBorder="1" applyAlignment="1">
      <alignment horizontal="right" vertical="center"/>
    </xf>
    <xf numFmtId="176" fontId="3" fillId="6" borderId="72" xfId="1" applyNumberFormat="1" applyFont="1" applyFill="1" applyBorder="1" applyAlignment="1">
      <alignment horizontal="right" vertical="center"/>
    </xf>
    <xf numFmtId="176" fontId="3" fillId="6" borderId="73" xfId="1" applyNumberFormat="1" applyFont="1" applyFill="1" applyBorder="1" applyAlignment="1">
      <alignment horizontal="right" vertical="center"/>
    </xf>
    <xf numFmtId="176" fontId="3" fillId="5" borderId="83" xfId="1" applyNumberFormat="1" applyFont="1" applyFill="1" applyBorder="1" applyAlignment="1">
      <alignment horizontal="right" vertical="center"/>
    </xf>
    <xf numFmtId="176" fontId="3" fillId="5" borderId="0" xfId="1" applyNumberFormat="1" applyFont="1" applyFill="1" applyBorder="1" applyAlignment="1">
      <alignment horizontal="right" vertical="center"/>
    </xf>
    <xf numFmtId="176" fontId="3" fillId="5" borderId="84" xfId="1" applyNumberFormat="1" applyFont="1" applyFill="1" applyBorder="1" applyAlignment="1">
      <alignment horizontal="right" vertical="center"/>
    </xf>
    <xf numFmtId="176" fontId="3" fillId="5" borderId="77" xfId="1" applyNumberFormat="1" applyFont="1" applyFill="1" applyBorder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72082-4201-4BFC-99F0-A9DC286987B3}">
  <dimension ref="A2:O47"/>
  <sheetViews>
    <sheetView topLeftCell="A33" workbookViewId="0">
      <selection activeCell="J3" sqref="J3:J47"/>
    </sheetView>
  </sheetViews>
  <sheetFormatPr defaultColWidth="9" defaultRowHeight="18" x14ac:dyDescent="0.45"/>
  <cols>
    <col min="1" max="1" width="33.09765625" style="1" bestFit="1" customWidth="1"/>
    <col min="2" max="3" width="9.69921875" style="1" customWidth="1"/>
    <col min="4" max="9" width="9" style="1" customWidth="1"/>
    <col min="10" max="16384" width="9" style="1"/>
  </cols>
  <sheetData>
    <row r="2" spans="1:15" x14ac:dyDescent="0.45">
      <c r="A2" s="2" t="s">
        <v>0</v>
      </c>
      <c r="B2" s="6" t="s">
        <v>34</v>
      </c>
      <c r="C2" s="4" t="s">
        <v>41</v>
      </c>
      <c r="D2" s="6" t="s">
        <v>35</v>
      </c>
      <c r="E2" s="4" t="s">
        <v>41</v>
      </c>
      <c r="F2" s="6" t="s">
        <v>36</v>
      </c>
      <c r="G2" s="4" t="s">
        <v>41</v>
      </c>
      <c r="H2" s="6" t="s">
        <v>37</v>
      </c>
      <c r="I2" s="4" t="s">
        <v>41</v>
      </c>
      <c r="J2" s="6" t="s">
        <v>38</v>
      </c>
      <c r="K2" s="4" t="s">
        <v>41</v>
      </c>
      <c r="L2" s="6" t="s">
        <v>39</v>
      </c>
      <c r="M2" s="4" t="s">
        <v>41</v>
      </c>
      <c r="N2" s="6" t="s">
        <v>40</v>
      </c>
      <c r="O2" s="4" t="s">
        <v>41</v>
      </c>
    </row>
    <row r="3" spans="1:15" x14ac:dyDescent="0.45">
      <c r="A3" s="3" t="s">
        <v>42</v>
      </c>
      <c r="B3" s="7">
        <v>800</v>
      </c>
      <c r="C3" s="5"/>
      <c r="D3" s="7">
        <v>800</v>
      </c>
      <c r="E3" s="5">
        <f>D3-B3</f>
        <v>0</v>
      </c>
      <c r="F3" s="7">
        <v>1600</v>
      </c>
      <c r="G3" s="5">
        <f>F3-D3</f>
        <v>800</v>
      </c>
      <c r="H3" s="7"/>
      <c r="I3" s="5">
        <f>H3-F3</f>
        <v>-1600</v>
      </c>
      <c r="J3" s="10">
        <v>4000</v>
      </c>
      <c r="K3" s="5">
        <f>J3-H3</f>
        <v>4000</v>
      </c>
      <c r="L3" s="6"/>
      <c r="M3" s="4"/>
      <c r="N3" s="6"/>
      <c r="O3" s="4"/>
    </row>
    <row r="4" spans="1:15" x14ac:dyDescent="0.45">
      <c r="A4" s="12" t="s">
        <v>1</v>
      </c>
      <c r="B4" s="7">
        <v>700</v>
      </c>
      <c r="C4" s="5"/>
      <c r="D4" s="7">
        <v>700</v>
      </c>
      <c r="E4" s="5">
        <f t="shared" ref="E4:K46" si="0">D4-B4</f>
        <v>0</v>
      </c>
      <c r="F4" s="7">
        <v>700</v>
      </c>
      <c r="G4" s="5">
        <f t="shared" si="0"/>
        <v>0</v>
      </c>
      <c r="H4" s="7">
        <v>700</v>
      </c>
      <c r="I4" s="5">
        <f t="shared" si="0"/>
        <v>0</v>
      </c>
      <c r="J4" s="8">
        <v>700</v>
      </c>
      <c r="K4" s="5">
        <f t="shared" si="0"/>
        <v>0</v>
      </c>
      <c r="L4" s="8"/>
      <c r="M4" s="9"/>
      <c r="N4" s="8"/>
      <c r="O4" s="9"/>
    </row>
    <row r="5" spans="1:15" x14ac:dyDescent="0.45">
      <c r="A5" s="3" t="s">
        <v>43</v>
      </c>
      <c r="B5" s="7">
        <v>1000</v>
      </c>
      <c r="C5" s="5"/>
      <c r="D5" s="7">
        <v>1000</v>
      </c>
      <c r="E5" s="5">
        <f t="shared" si="0"/>
        <v>0</v>
      </c>
      <c r="F5" s="7">
        <v>2000</v>
      </c>
      <c r="G5" s="5">
        <f t="shared" si="0"/>
        <v>1000</v>
      </c>
      <c r="H5" s="7"/>
      <c r="I5" s="5">
        <f t="shared" si="0"/>
        <v>-2000</v>
      </c>
      <c r="J5" s="8">
        <v>5000</v>
      </c>
      <c r="K5" s="5">
        <f t="shared" si="0"/>
        <v>5000</v>
      </c>
      <c r="L5" s="8"/>
      <c r="M5" s="9"/>
      <c r="N5" s="8"/>
      <c r="O5" s="9"/>
    </row>
    <row r="6" spans="1:15" x14ac:dyDescent="0.45">
      <c r="A6" s="3" t="s">
        <v>2</v>
      </c>
      <c r="B6" s="7">
        <v>3300</v>
      </c>
      <c r="C6" s="5"/>
      <c r="D6" s="7">
        <v>3300</v>
      </c>
      <c r="E6" s="5">
        <f t="shared" si="0"/>
        <v>0</v>
      </c>
      <c r="F6" s="7">
        <v>4560</v>
      </c>
      <c r="G6" s="5">
        <f t="shared" si="0"/>
        <v>1260</v>
      </c>
      <c r="H6" s="7">
        <v>3300</v>
      </c>
      <c r="I6" s="5">
        <f t="shared" si="0"/>
        <v>-1260</v>
      </c>
      <c r="J6" s="8">
        <v>4560</v>
      </c>
      <c r="K6" s="5">
        <f t="shared" si="0"/>
        <v>1260</v>
      </c>
      <c r="L6" s="8"/>
      <c r="M6" s="9"/>
      <c r="N6" s="8"/>
      <c r="O6" s="9"/>
    </row>
    <row r="7" spans="1:15" x14ac:dyDescent="0.45">
      <c r="A7" s="3" t="s">
        <v>3</v>
      </c>
      <c r="B7" s="7">
        <v>28825</v>
      </c>
      <c r="C7" s="5"/>
      <c r="D7" s="7">
        <v>28825</v>
      </c>
      <c r="E7" s="5">
        <f t="shared" si="0"/>
        <v>0</v>
      </c>
      <c r="F7" s="7">
        <v>31575</v>
      </c>
      <c r="G7" s="5">
        <f t="shared" si="0"/>
        <v>2750</v>
      </c>
      <c r="H7" s="7">
        <v>38375</v>
      </c>
      <c r="I7" s="5">
        <f t="shared" si="0"/>
        <v>6800</v>
      </c>
      <c r="J7" s="8">
        <v>32000</v>
      </c>
      <c r="K7" s="5">
        <f t="shared" si="0"/>
        <v>-6375</v>
      </c>
      <c r="L7" s="8"/>
      <c r="M7" s="9"/>
      <c r="N7" s="8"/>
      <c r="O7" s="9"/>
    </row>
    <row r="8" spans="1:15" x14ac:dyDescent="0.45">
      <c r="A8" s="3" t="s">
        <v>4</v>
      </c>
      <c r="B8" s="7">
        <v>675</v>
      </c>
      <c r="C8" s="5"/>
      <c r="D8" s="7">
        <v>675</v>
      </c>
      <c r="E8" s="5">
        <f t="shared" si="0"/>
        <v>0</v>
      </c>
      <c r="F8" s="7">
        <v>1037.5</v>
      </c>
      <c r="G8" s="5">
        <f t="shared" si="0"/>
        <v>362.5</v>
      </c>
      <c r="H8" s="7">
        <v>625</v>
      </c>
      <c r="I8" s="5">
        <f t="shared" si="0"/>
        <v>-412.5</v>
      </c>
      <c r="J8" s="8">
        <v>625</v>
      </c>
      <c r="K8" s="5">
        <f t="shared" si="0"/>
        <v>0</v>
      </c>
      <c r="L8" s="8"/>
      <c r="M8" s="9"/>
      <c r="N8" s="8"/>
      <c r="O8" s="9"/>
    </row>
    <row r="9" spans="1:15" x14ac:dyDescent="0.45">
      <c r="A9" s="3" t="s">
        <v>5</v>
      </c>
      <c r="B9" s="7">
        <v>15060</v>
      </c>
      <c r="C9" s="5"/>
      <c r="D9" s="7">
        <v>15060</v>
      </c>
      <c r="E9" s="5">
        <f t="shared" si="0"/>
        <v>0</v>
      </c>
      <c r="F9" s="7">
        <v>15600</v>
      </c>
      <c r="G9" s="5">
        <f t="shared" si="0"/>
        <v>540</v>
      </c>
      <c r="H9" s="7">
        <v>7920</v>
      </c>
      <c r="I9" s="5">
        <f t="shared" si="0"/>
        <v>-7680</v>
      </c>
      <c r="J9" s="8">
        <v>7920</v>
      </c>
      <c r="K9" s="5">
        <f t="shared" si="0"/>
        <v>0</v>
      </c>
      <c r="L9" s="8"/>
      <c r="M9" s="9"/>
      <c r="N9" s="8"/>
      <c r="O9" s="9"/>
    </row>
    <row r="10" spans="1:15" x14ac:dyDescent="0.45">
      <c r="A10" s="3" t="s">
        <v>6</v>
      </c>
      <c r="B10" s="7">
        <v>2500</v>
      </c>
      <c r="C10" s="5"/>
      <c r="D10" s="7">
        <v>2500</v>
      </c>
      <c r="E10" s="5">
        <f t="shared" si="0"/>
        <v>0</v>
      </c>
      <c r="F10" s="7">
        <v>3500</v>
      </c>
      <c r="G10" s="5">
        <f t="shared" si="0"/>
        <v>1000</v>
      </c>
      <c r="H10" s="7">
        <v>3500</v>
      </c>
      <c r="I10" s="5">
        <f t="shared" si="0"/>
        <v>0</v>
      </c>
      <c r="J10" s="8">
        <v>4500</v>
      </c>
      <c r="K10" s="5">
        <f t="shared" si="0"/>
        <v>1000</v>
      </c>
      <c r="L10" s="8"/>
      <c r="M10" s="9"/>
      <c r="N10" s="8"/>
      <c r="O10" s="9"/>
    </row>
    <row r="11" spans="1:15" x14ac:dyDescent="0.45">
      <c r="A11" s="3" t="s">
        <v>45</v>
      </c>
      <c r="B11" s="7"/>
      <c r="C11" s="5"/>
      <c r="D11" s="7"/>
      <c r="E11" s="5">
        <f t="shared" si="0"/>
        <v>0</v>
      </c>
      <c r="F11" s="7">
        <v>200</v>
      </c>
      <c r="G11" s="5">
        <f t="shared" si="0"/>
        <v>200</v>
      </c>
      <c r="H11" s="7">
        <v>200</v>
      </c>
      <c r="I11" s="5">
        <f t="shared" si="0"/>
        <v>0</v>
      </c>
      <c r="J11" s="8"/>
      <c r="K11" s="5">
        <f t="shared" si="0"/>
        <v>-200</v>
      </c>
      <c r="L11" s="8"/>
      <c r="M11" s="9"/>
      <c r="N11" s="8"/>
      <c r="O11" s="9"/>
    </row>
    <row r="12" spans="1:15" x14ac:dyDescent="0.45">
      <c r="A12" s="3" t="s">
        <v>44</v>
      </c>
      <c r="B12" s="7">
        <v>3060</v>
      </c>
      <c r="C12" s="5"/>
      <c r="D12" s="7">
        <v>3060</v>
      </c>
      <c r="E12" s="5">
        <f t="shared" si="0"/>
        <v>0</v>
      </c>
      <c r="F12" s="7">
        <v>1260</v>
      </c>
      <c r="G12" s="5">
        <f t="shared" si="0"/>
        <v>-1800</v>
      </c>
      <c r="H12" s="7"/>
      <c r="I12" s="5">
        <f t="shared" si="0"/>
        <v>-1260</v>
      </c>
      <c r="J12" s="8"/>
      <c r="K12" s="5">
        <f t="shared" si="0"/>
        <v>0</v>
      </c>
      <c r="L12" s="8"/>
      <c r="M12" s="9"/>
      <c r="N12" s="8"/>
      <c r="O12" s="9"/>
    </row>
    <row r="13" spans="1:15" x14ac:dyDescent="0.45">
      <c r="A13" s="3" t="s">
        <v>7</v>
      </c>
      <c r="B13" s="7">
        <v>30240</v>
      </c>
      <c r="C13" s="5"/>
      <c r="D13" s="7">
        <v>27720</v>
      </c>
      <c r="E13" s="5">
        <f t="shared" si="0"/>
        <v>-2520</v>
      </c>
      <c r="F13" s="7">
        <v>46740</v>
      </c>
      <c r="G13" s="5">
        <f t="shared" si="0"/>
        <v>19020</v>
      </c>
      <c r="H13" s="7">
        <v>61740</v>
      </c>
      <c r="I13" s="5">
        <f t="shared" si="0"/>
        <v>15000</v>
      </c>
      <c r="J13" s="8"/>
      <c r="K13" s="5">
        <f t="shared" si="0"/>
        <v>-61740</v>
      </c>
      <c r="L13" s="8"/>
      <c r="M13" s="9"/>
      <c r="N13" s="8"/>
      <c r="O13" s="9"/>
    </row>
    <row r="14" spans="1:15" x14ac:dyDescent="0.45">
      <c r="A14" s="3" t="s">
        <v>53</v>
      </c>
      <c r="B14" s="7"/>
      <c r="C14" s="5"/>
      <c r="D14" s="7"/>
      <c r="E14" s="5"/>
      <c r="F14" s="7"/>
      <c r="G14" s="5"/>
      <c r="H14" s="7"/>
      <c r="I14" s="5"/>
      <c r="J14" s="8">
        <v>53460</v>
      </c>
      <c r="K14" s="5">
        <f t="shared" si="0"/>
        <v>53460</v>
      </c>
      <c r="L14" s="8"/>
      <c r="M14" s="9"/>
      <c r="N14" s="8"/>
      <c r="O14" s="9"/>
    </row>
    <row r="15" spans="1:15" x14ac:dyDescent="0.45">
      <c r="A15" s="3" t="s">
        <v>8</v>
      </c>
      <c r="B15" s="7">
        <v>1980</v>
      </c>
      <c r="C15" s="5"/>
      <c r="D15" s="7">
        <v>1980</v>
      </c>
      <c r="E15" s="5">
        <f t="shared" si="0"/>
        <v>0</v>
      </c>
      <c r="F15" s="7">
        <v>1800</v>
      </c>
      <c r="G15" s="5">
        <f t="shared" si="0"/>
        <v>-180</v>
      </c>
      <c r="H15" s="7">
        <v>1250</v>
      </c>
      <c r="I15" s="5">
        <f t="shared" si="0"/>
        <v>-550</v>
      </c>
      <c r="J15" s="8">
        <v>1080</v>
      </c>
      <c r="K15" s="5">
        <f t="shared" si="0"/>
        <v>-170</v>
      </c>
      <c r="L15" s="8"/>
      <c r="M15" s="9"/>
      <c r="N15" s="8"/>
      <c r="O15" s="9"/>
    </row>
    <row r="16" spans="1:15" x14ac:dyDescent="0.45">
      <c r="A16" s="3" t="s">
        <v>9</v>
      </c>
      <c r="B16" s="7">
        <v>4050</v>
      </c>
      <c r="C16" s="5"/>
      <c r="D16" s="7">
        <v>3150</v>
      </c>
      <c r="E16" s="5">
        <f t="shared" si="0"/>
        <v>-900</v>
      </c>
      <c r="F16" s="7">
        <v>4800</v>
      </c>
      <c r="G16" s="5">
        <f t="shared" si="0"/>
        <v>1650</v>
      </c>
      <c r="H16" s="7">
        <v>4200</v>
      </c>
      <c r="I16" s="5">
        <f t="shared" si="0"/>
        <v>-600</v>
      </c>
      <c r="J16" s="8">
        <v>3600</v>
      </c>
      <c r="K16" s="5">
        <f t="shared" si="0"/>
        <v>-600</v>
      </c>
      <c r="L16" s="8"/>
      <c r="M16" s="9"/>
      <c r="N16" s="8"/>
      <c r="O16" s="9"/>
    </row>
    <row r="17" spans="1:15" x14ac:dyDescent="0.45">
      <c r="A17" s="3" t="s">
        <v>10</v>
      </c>
      <c r="B17" s="7">
        <v>6120</v>
      </c>
      <c r="C17" s="5"/>
      <c r="D17" s="7">
        <v>6120</v>
      </c>
      <c r="E17" s="5">
        <f t="shared" si="0"/>
        <v>0</v>
      </c>
      <c r="F17" s="7">
        <v>5220</v>
      </c>
      <c r="G17" s="5">
        <f t="shared" si="0"/>
        <v>-900</v>
      </c>
      <c r="H17" s="7">
        <v>3780</v>
      </c>
      <c r="I17" s="5">
        <f t="shared" si="0"/>
        <v>-1440</v>
      </c>
      <c r="J17" s="8">
        <v>3780</v>
      </c>
      <c r="K17" s="5">
        <f t="shared" si="0"/>
        <v>0</v>
      </c>
      <c r="L17" s="8"/>
      <c r="M17" s="9"/>
      <c r="N17" s="8"/>
      <c r="O17" s="9"/>
    </row>
    <row r="18" spans="1:15" x14ac:dyDescent="0.45">
      <c r="A18" s="3" t="s">
        <v>11</v>
      </c>
      <c r="B18" s="7">
        <v>13860</v>
      </c>
      <c r="C18" s="5"/>
      <c r="D18" s="7">
        <v>13860</v>
      </c>
      <c r="E18" s="5">
        <f t="shared" si="0"/>
        <v>0</v>
      </c>
      <c r="F18" s="7">
        <v>14400</v>
      </c>
      <c r="G18" s="5">
        <f t="shared" si="0"/>
        <v>540</v>
      </c>
      <c r="H18" s="7">
        <v>5040</v>
      </c>
      <c r="I18" s="5">
        <f t="shared" si="0"/>
        <v>-9360</v>
      </c>
      <c r="J18" s="8">
        <v>5040</v>
      </c>
      <c r="K18" s="5">
        <f t="shared" si="0"/>
        <v>0</v>
      </c>
      <c r="L18" s="8"/>
      <c r="M18" s="9"/>
      <c r="N18" s="8"/>
      <c r="O18" s="9"/>
    </row>
    <row r="19" spans="1:15" x14ac:dyDescent="0.45">
      <c r="A19" s="3" t="s">
        <v>46</v>
      </c>
      <c r="B19" s="7">
        <v>280</v>
      </c>
      <c r="C19" s="5"/>
      <c r="D19" s="7">
        <v>280</v>
      </c>
      <c r="E19" s="5">
        <f t="shared" si="0"/>
        <v>0</v>
      </c>
      <c r="F19" s="7"/>
      <c r="G19" s="5">
        <f t="shared" si="0"/>
        <v>-280</v>
      </c>
      <c r="H19" s="7"/>
      <c r="I19" s="5">
        <f t="shared" si="0"/>
        <v>0</v>
      </c>
      <c r="J19" s="8"/>
      <c r="K19" s="5">
        <f t="shared" si="0"/>
        <v>0</v>
      </c>
      <c r="L19" s="8"/>
      <c r="M19" s="9"/>
      <c r="N19" s="8"/>
      <c r="O19" s="9"/>
    </row>
    <row r="20" spans="1:15" x14ac:dyDescent="0.45">
      <c r="A20" s="12" t="s">
        <v>12</v>
      </c>
      <c r="B20" s="7">
        <v>1320</v>
      </c>
      <c r="C20" s="5"/>
      <c r="D20" s="7">
        <v>1320</v>
      </c>
      <c r="E20" s="5">
        <f t="shared" si="0"/>
        <v>0</v>
      </c>
      <c r="F20" s="7">
        <v>1320</v>
      </c>
      <c r="G20" s="5">
        <f t="shared" si="0"/>
        <v>0</v>
      </c>
      <c r="H20" s="7">
        <v>1320</v>
      </c>
      <c r="I20" s="5">
        <f t="shared" si="0"/>
        <v>0</v>
      </c>
      <c r="J20" s="8">
        <v>1320</v>
      </c>
      <c r="K20" s="5">
        <f t="shared" si="0"/>
        <v>0</v>
      </c>
      <c r="L20" s="8"/>
      <c r="M20" s="9"/>
      <c r="N20" s="8"/>
      <c r="O20" s="9"/>
    </row>
    <row r="21" spans="1:15" x14ac:dyDescent="0.45">
      <c r="A21" s="12" t="s">
        <v>13</v>
      </c>
      <c r="B21" s="7">
        <v>520</v>
      </c>
      <c r="C21" s="5"/>
      <c r="D21" s="7">
        <v>520</v>
      </c>
      <c r="E21" s="5">
        <f t="shared" si="0"/>
        <v>0</v>
      </c>
      <c r="F21" s="7">
        <v>520</v>
      </c>
      <c r="G21" s="5">
        <f t="shared" si="0"/>
        <v>0</v>
      </c>
      <c r="H21" s="7">
        <v>1000</v>
      </c>
      <c r="I21" s="5">
        <f t="shared" si="0"/>
        <v>480</v>
      </c>
      <c r="J21" s="8">
        <v>900</v>
      </c>
      <c r="K21" s="5">
        <f t="shared" si="0"/>
        <v>-100</v>
      </c>
      <c r="L21" s="8"/>
      <c r="M21" s="9"/>
      <c r="N21" s="8"/>
      <c r="O21" s="9"/>
    </row>
    <row r="22" spans="1:15" x14ac:dyDescent="0.45">
      <c r="A22" s="12" t="s">
        <v>14</v>
      </c>
      <c r="B22" s="7">
        <v>1750</v>
      </c>
      <c r="C22" s="5"/>
      <c r="D22" s="7">
        <v>1750</v>
      </c>
      <c r="E22" s="5">
        <f t="shared" si="0"/>
        <v>0</v>
      </c>
      <c r="F22" s="7">
        <v>1587.5</v>
      </c>
      <c r="G22" s="5">
        <f t="shared" si="0"/>
        <v>-162.5</v>
      </c>
      <c r="H22" s="7">
        <v>1462.5</v>
      </c>
      <c r="I22" s="5">
        <f t="shared" si="0"/>
        <v>-125</v>
      </c>
      <c r="J22" s="11">
        <v>1462.5</v>
      </c>
      <c r="K22" s="5">
        <f t="shared" si="0"/>
        <v>0</v>
      </c>
      <c r="L22" s="8"/>
      <c r="M22" s="9"/>
      <c r="N22" s="8"/>
      <c r="O22" s="9"/>
    </row>
    <row r="23" spans="1:15" x14ac:dyDescent="0.45">
      <c r="A23" s="3" t="s">
        <v>47</v>
      </c>
      <c r="B23" s="7">
        <v>2520</v>
      </c>
      <c r="C23" s="5"/>
      <c r="D23" s="7">
        <v>1260</v>
      </c>
      <c r="E23" s="5">
        <f t="shared" si="0"/>
        <v>-1260</v>
      </c>
      <c r="F23" s="7">
        <v>3780</v>
      </c>
      <c r="G23" s="5">
        <f t="shared" si="0"/>
        <v>2520</v>
      </c>
      <c r="H23" s="7"/>
      <c r="I23" s="5">
        <f t="shared" si="0"/>
        <v>-3780</v>
      </c>
      <c r="J23" s="8">
        <v>2520</v>
      </c>
      <c r="K23" s="5">
        <f t="shared" si="0"/>
        <v>2520</v>
      </c>
      <c r="L23" s="8"/>
      <c r="M23" s="9"/>
      <c r="N23" s="8"/>
      <c r="O23" s="9"/>
    </row>
    <row r="24" spans="1:15" x14ac:dyDescent="0.45">
      <c r="A24" s="12" t="s">
        <v>15</v>
      </c>
      <c r="B24" s="7">
        <v>4000</v>
      </c>
      <c r="C24" s="5"/>
      <c r="D24" s="7">
        <v>4000</v>
      </c>
      <c r="E24" s="5">
        <f t="shared" si="0"/>
        <v>0</v>
      </c>
      <c r="F24" s="7">
        <v>4000</v>
      </c>
      <c r="G24" s="5">
        <f t="shared" si="0"/>
        <v>0</v>
      </c>
      <c r="H24" s="7">
        <v>4000</v>
      </c>
      <c r="I24" s="5">
        <f t="shared" si="0"/>
        <v>0</v>
      </c>
      <c r="J24" s="8">
        <v>3500</v>
      </c>
      <c r="K24" s="5">
        <f t="shared" si="0"/>
        <v>-500</v>
      </c>
      <c r="L24" s="8"/>
      <c r="M24" s="9"/>
      <c r="N24" s="8"/>
      <c r="O24" s="9"/>
    </row>
    <row r="25" spans="1:15" x14ac:dyDescent="0.45">
      <c r="A25" s="3" t="s">
        <v>48</v>
      </c>
      <c r="B25" s="7">
        <v>2000</v>
      </c>
      <c r="C25" s="5"/>
      <c r="D25" s="7">
        <v>2000</v>
      </c>
      <c r="E25" s="5">
        <f t="shared" si="0"/>
        <v>0</v>
      </c>
      <c r="F25" s="7">
        <v>500</v>
      </c>
      <c r="G25" s="5">
        <f t="shared" si="0"/>
        <v>-1500</v>
      </c>
      <c r="H25" s="7"/>
      <c r="I25" s="5">
        <f t="shared" si="0"/>
        <v>-500</v>
      </c>
      <c r="J25" s="8">
        <v>2500</v>
      </c>
      <c r="K25" s="5">
        <f t="shared" si="0"/>
        <v>2500</v>
      </c>
      <c r="L25" s="8"/>
      <c r="M25" s="9"/>
      <c r="N25" s="8"/>
      <c r="O25" s="9"/>
    </row>
    <row r="26" spans="1:15" x14ac:dyDescent="0.45">
      <c r="A26" s="3" t="s">
        <v>49</v>
      </c>
      <c r="B26" s="7">
        <v>336</v>
      </c>
      <c r="C26" s="5"/>
      <c r="D26" s="7">
        <v>336</v>
      </c>
      <c r="E26" s="5">
        <f t="shared" si="0"/>
        <v>0</v>
      </c>
      <c r="F26" s="7">
        <v>336</v>
      </c>
      <c r="G26" s="5">
        <f t="shared" si="0"/>
        <v>0</v>
      </c>
      <c r="H26" s="7"/>
      <c r="I26" s="5">
        <f t="shared" si="0"/>
        <v>-336</v>
      </c>
      <c r="J26" s="8"/>
      <c r="K26" s="5">
        <f t="shared" si="0"/>
        <v>0</v>
      </c>
      <c r="L26" s="8"/>
      <c r="M26" s="9"/>
      <c r="N26" s="8"/>
      <c r="O26" s="9"/>
    </row>
    <row r="27" spans="1:15" x14ac:dyDescent="0.45">
      <c r="A27" s="3" t="s">
        <v>16</v>
      </c>
      <c r="B27" s="7"/>
      <c r="C27" s="5"/>
      <c r="D27" s="7"/>
      <c r="E27" s="5">
        <f t="shared" si="0"/>
        <v>0</v>
      </c>
      <c r="F27" s="7"/>
      <c r="G27" s="5">
        <f t="shared" si="0"/>
        <v>0</v>
      </c>
      <c r="H27" s="7">
        <v>500</v>
      </c>
      <c r="I27" s="5">
        <f t="shared" si="0"/>
        <v>500</v>
      </c>
      <c r="J27" s="8"/>
      <c r="K27" s="5">
        <f t="shared" si="0"/>
        <v>-500</v>
      </c>
      <c r="L27" s="8"/>
      <c r="M27" s="9"/>
      <c r="N27" s="8"/>
      <c r="O27" s="9"/>
    </row>
    <row r="28" spans="1:15" x14ac:dyDescent="0.45">
      <c r="A28" s="12" t="s">
        <v>17</v>
      </c>
      <c r="B28" s="7">
        <v>520</v>
      </c>
      <c r="C28" s="5"/>
      <c r="D28" s="7">
        <v>520</v>
      </c>
      <c r="E28" s="5">
        <f t="shared" si="0"/>
        <v>0</v>
      </c>
      <c r="F28" s="7">
        <v>520</v>
      </c>
      <c r="G28" s="5">
        <f t="shared" si="0"/>
        <v>0</v>
      </c>
      <c r="H28" s="7">
        <v>520</v>
      </c>
      <c r="I28" s="5">
        <f t="shared" si="0"/>
        <v>0</v>
      </c>
      <c r="J28" s="8">
        <v>520</v>
      </c>
      <c r="K28" s="5">
        <f t="shared" si="0"/>
        <v>0</v>
      </c>
      <c r="L28" s="8"/>
      <c r="M28" s="9"/>
      <c r="N28" s="8"/>
      <c r="O28" s="9"/>
    </row>
    <row r="29" spans="1:15" x14ac:dyDescent="0.45">
      <c r="A29" s="12" t="s">
        <v>18</v>
      </c>
      <c r="B29" s="7">
        <v>520</v>
      </c>
      <c r="C29" s="5"/>
      <c r="D29" s="7">
        <v>520</v>
      </c>
      <c r="E29" s="5">
        <f t="shared" si="0"/>
        <v>0</v>
      </c>
      <c r="F29" s="7">
        <v>420</v>
      </c>
      <c r="G29" s="5">
        <f t="shared" si="0"/>
        <v>-100</v>
      </c>
      <c r="H29" s="7">
        <v>420</v>
      </c>
      <c r="I29" s="5">
        <f t="shared" si="0"/>
        <v>0</v>
      </c>
      <c r="J29" s="8">
        <v>420</v>
      </c>
      <c r="K29" s="5">
        <f t="shared" si="0"/>
        <v>0</v>
      </c>
      <c r="L29" s="8"/>
      <c r="M29" s="9"/>
      <c r="N29" s="8"/>
      <c r="O29" s="9"/>
    </row>
    <row r="30" spans="1:15" x14ac:dyDescent="0.45">
      <c r="A30" s="12" t="s">
        <v>19</v>
      </c>
      <c r="B30" s="7">
        <v>1987.5</v>
      </c>
      <c r="C30" s="5"/>
      <c r="D30" s="7">
        <v>1988</v>
      </c>
      <c r="E30" s="5">
        <f t="shared" si="0"/>
        <v>0.5</v>
      </c>
      <c r="F30" s="7">
        <v>1987.5</v>
      </c>
      <c r="G30" s="5">
        <f t="shared" si="0"/>
        <v>-0.5</v>
      </c>
      <c r="H30" s="7">
        <v>1987.5</v>
      </c>
      <c r="I30" s="5">
        <f t="shared" si="0"/>
        <v>0</v>
      </c>
      <c r="J30" s="11">
        <v>1987.5</v>
      </c>
      <c r="K30" s="5">
        <f t="shared" si="0"/>
        <v>0</v>
      </c>
      <c r="L30" s="8"/>
      <c r="M30" s="9"/>
      <c r="N30" s="8"/>
      <c r="O30" s="9"/>
    </row>
    <row r="31" spans="1:15" x14ac:dyDescent="0.45">
      <c r="A31" s="3" t="s">
        <v>50</v>
      </c>
      <c r="B31" s="7">
        <v>1000</v>
      </c>
      <c r="C31" s="5"/>
      <c r="D31" s="7">
        <v>1000</v>
      </c>
      <c r="E31" s="5">
        <f t="shared" si="0"/>
        <v>0</v>
      </c>
      <c r="F31" s="7"/>
      <c r="G31" s="5">
        <f t="shared" si="0"/>
        <v>-1000</v>
      </c>
      <c r="H31" s="7"/>
      <c r="I31" s="5">
        <f t="shared" si="0"/>
        <v>0</v>
      </c>
      <c r="J31" s="8">
        <v>1000</v>
      </c>
      <c r="K31" s="5">
        <f t="shared" si="0"/>
        <v>1000</v>
      </c>
      <c r="L31" s="8"/>
      <c r="M31" s="9"/>
      <c r="N31" s="8"/>
      <c r="O31" s="9"/>
    </row>
    <row r="32" spans="1:15" x14ac:dyDescent="0.45">
      <c r="A32" s="3" t="s">
        <v>51</v>
      </c>
      <c r="B32" s="7">
        <v>1000</v>
      </c>
      <c r="C32" s="5"/>
      <c r="D32" s="7">
        <v>1000</v>
      </c>
      <c r="E32" s="5">
        <f t="shared" si="0"/>
        <v>0</v>
      </c>
      <c r="F32" s="7"/>
      <c r="G32" s="5">
        <f t="shared" si="0"/>
        <v>-1000</v>
      </c>
      <c r="H32" s="7"/>
      <c r="I32" s="5">
        <f t="shared" si="0"/>
        <v>0</v>
      </c>
      <c r="J32" s="8">
        <v>1000</v>
      </c>
      <c r="K32" s="5">
        <f t="shared" si="0"/>
        <v>1000</v>
      </c>
      <c r="L32" s="8"/>
      <c r="M32" s="9"/>
      <c r="N32" s="8"/>
      <c r="O32" s="9"/>
    </row>
    <row r="33" spans="1:15" x14ac:dyDescent="0.45">
      <c r="A33" s="3" t="s">
        <v>20</v>
      </c>
      <c r="B33" s="7">
        <v>3500</v>
      </c>
      <c r="C33" s="5"/>
      <c r="D33" s="7">
        <v>3500</v>
      </c>
      <c r="E33" s="5">
        <f t="shared" si="0"/>
        <v>0</v>
      </c>
      <c r="F33" s="7">
        <v>5250</v>
      </c>
      <c r="G33" s="5">
        <f t="shared" si="0"/>
        <v>1750</v>
      </c>
      <c r="H33" s="7">
        <v>5625</v>
      </c>
      <c r="I33" s="5">
        <f t="shared" si="0"/>
        <v>375</v>
      </c>
      <c r="J33" s="8">
        <v>3000</v>
      </c>
      <c r="K33" s="5">
        <f t="shared" si="0"/>
        <v>-2625</v>
      </c>
      <c r="L33" s="8"/>
      <c r="M33" s="9"/>
      <c r="N33" s="8"/>
      <c r="O33" s="9"/>
    </row>
    <row r="34" spans="1:15" x14ac:dyDescent="0.45">
      <c r="A34" s="3" t="s">
        <v>21</v>
      </c>
      <c r="B34" s="7">
        <v>120</v>
      </c>
      <c r="C34" s="5"/>
      <c r="D34" s="7">
        <v>120</v>
      </c>
      <c r="E34" s="5">
        <f t="shared" si="0"/>
        <v>0</v>
      </c>
      <c r="F34" s="7">
        <v>400</v>
      </c>
      <c r="G34" s="5">
        <f t="shared" si="0"/>
        <v>280</v>
      </c>
      <c r="H34" s="7">
        <v>200</v>
      </c>
      <c r="I34" s="5">
        <f t="shared" si="0"/>
        <v>-200</v>
      </c>
      <c r="J34" s="8">
        <v>980</v>
      </c>
      <c r="K34" s="5">
        <f t="shared" si="0"/>
        <v>780</v>
      </c>
      <c r="L34" s="8"/>
      <c r="M34" s="9"/>
      <c r="N34" s="8"/>
      <c r="O34" s="9"/>
    </row>
    <row r="35" spans="1:15" x14ac:dyDescent="0.45">
      <c r="A35" s="3" t="s">
        <v>22</v>
      </c>
      <c r="B35" s="7">
        <v>1000</v>
      </c>
      <c r="C35" s="5"/>
      <c r="D35" s="7">
        <v>1000</v>
      </c>
      <c r="E35" s="5">
        <f t="shared" si="0"/>
        <v>0</v>
      </c>
      <c r="F35" s="7">
        <v>1360</v>
      </c>
      <c r="G35" s="5">
        <f t="shared" si="0"/>
        <v>360</v>
      </c>
      <c r="H35" s="7">
        <v>1160</v>
      </c>
      <c r="I35" s="5">
        <f t="shared" si="0"/>
        <v>-200</v>
      </c>
      <c r="J35" s="8">
        <v>1040</v>
      </c>
      <c r="K35" s="5">
        <f t="shared" si="0"/>
        <v>-120</v>
      </c>
      <c r="L35" s="8"/>
      <c r="M35" s="9"/>
      <c r="N35" s="8"/>
      <c r="O35" s="9"/>
    </row>
    <row r="36" spans="1:15" x14ac:dyDescent="0.45">
      <c r="A36" s="12" t="s">
        <v>23</v>
      </c>
      <c r="B36" s="7">
        <v>280</v>
      </c>
      <c r="C36" s="5"/>
      <c r="D36" s="7">
        <v>280</v>
      </c>
      <c r="E36" s="5">
        <f t="shared" si="0"/>
        <v>0</v>
      </c>
      <c r="F36" s="7">
        <v>280</v>
      </c>
      <c r="G36" s="5">
        <f t="shared" si="0"/>
        <v>0</v>
      </c>
      <c r="H36" s="7">
        <v>280</v>
      </c>
      <c r="I36" s="5">
        <f t="shared" si="0"/>
        <v>0</v>
      </c>
      <c r="J36" s="8">
        <v>260</v>
      </c>
      <c r="K36" s="5">
        <f t="shared" si="0"/>
        <v>-20</v>
      </c>
      <c r="L36" s="8"/>
      <c r="M36" s="9"/>
      <c r="N36" s="8"/>
      <c r="O36" s="9"/>
    </row>
    <row r="37" spans="1:15" x14ac:dyDescent="0.45">
      <c r="A37" s="3" t="s">
        <v>24</v>
      </c>
      <c r="B37" s="7">
        <v>320</v>
      </c>
      <c r="C37" s="5"/>
      <c r="D37" s="7">
        <v>320</v>
      </c>
      <c r="E37" s="5">
        <f t="shared" si="0"/>
        <v>0</v>
      </c>
      <c r="F37" s="7">
        <v>260</v>
      </c>
      <c r="G37" s="5">
        <f t="shared" si="0"/>
        <v>-60</v>
      </c>
      <c r="H37" s="7">
        <v>240</v>
      </c>
      <c r="I37" s="5">
        <f t="shared" si="0"/>
        <v>-20</v>
      </c>
      <c r="J37" s="8">
        <v>200</v>
      </c>
      <c r="K37" s="5">
        <f t="shared" si="0"/>
        <v>-40</v>
      </c>
      <c r="L37" s="8"/>
      <c r="M37" s="9"/>
      <c r="N37" s="8"/>
      <c r="O37" s="9"/>
    </row>
    <row r="38" spans="1:15" x14ac:dyDescent="0.45">
      <c r="A38" s="3" t="s">
        <v>25</v>
      </c>
      <c r="B38" s="7">
        <v>2120</v>
      </c>
      <c r="C38" s="5"/>
      <c r="D38" s="7">
        <v>2120</v>
      </c>
      <c r="E38" s="5">
        <f t="shared" si="0"/>
        <v>0</v>
      </c>
      <c r="F38" s="7">
        <v>2700</v>
      </c>
      <c r="G38" s="5">
        <f t="shared" si="0"/>
        <v>580</v>
      </c>
      <c r="H38" s="7">
        <v>2140</v>
      </c>
      <c r="I38" s="5">
        <f t="shared" si="0"/>
        <v>-560</v>
      </c>
      <c r="J38" s="8">
        <v>1800</v>
      </c>
      <c r="K38" s="5">
        <f t="shared" si="0"/>
        <v>-340</v>
      </c>
      <c r="L38" s="8"/>
      <c r="M38" s="9"/>
      <c r="N38" s="8"/>
      <c r="O38" s="9"/>
    </row>
    <row r="39" spans="1:15" x14ac:dyDescent="0.45">
      <c r="A39" s="3" t="s">
        <v>26</v>
      </c>
      <c r="B39" s="7">
        <v>1720</v>
      </c>
      <c r="C39" s="5"/>
      <c r="D39" s="7">
        <v>1720</v>
      </c>
      <c r="E39" s="5">
        <f t="shared" si="0"/>
        <v>0</v>
      </c>
      <c r="F39" s="7">
        <v>1240</v>
      </c>
      <c r="G39" s="5">
        <f t="shared" si="0"/>
        <v>-480</v>
      </c>
      <c r="H39" s="7">
        <v>1080</v>
      </c>
      <c r="I39" s="5">
        <f t="shared" si="0"/>
        <v>-160</v>
      </c>
      <c r="J39" s="8">
        <v>820</v>
      </c>
      <c r="K39" s="5">
        <f t="shared" si="0"/>
        <v>-260</v>
      </c>
      <c r="L39" s="8"/>
      <c r="M39" s="9"/>
      <c r="N39" s="8"/>
      <c r="O39" s="9"/>
    </row>
    <row r="40" spans="1:15" x14ac:dyDescent="0.45">
      <c r="A40" s="3" t="s">
        <v>27</v>
      </c>
      <c r="B40" s="7">
        <v>120</v>
      </c>
      <c r="C40" s="5"/>
      <c r="D40" s="7">
        <v>120</v>
      </c>
      <c r="E40" s="5">
        <f t="shared" si="0"/>
        <v>0</v>
      </c>
      <c r="F40" s="7">
        <v>220</v>
      </c>
      <c r="G40" s="5">
        <f t="shared" si="0"/>
        <v>100</v>
      </c>
      <c r="H40" s="7">
        <v>200</v>
      </c>
      <c r="I40" s="5">
        <f t="shared" si="0"/>
        <v>-20</v>
      </c>
      <c r="J40" s="8">
        <v>160</v>
      </c>
      <c r="K40" s="5">
        <f t="shared" si="0"/>
        <v>-40</v>
      </c>
      <c r="L40" s="8"/>
      <c r="M40" s="9"/>
      <c r="N40" s="8"/>
      <c r="O40" s="9"/>
    </row>
    <row r="41" spans="1:15" x14ac:dyDescent="0.45">
      <c r="A41" s="3" t="s">
        <v>28</v>
      </c>
      <c r="B41" s="7">
        <v>2800</v>
      </c>
      <c r="C41" s="5"/>
      <c r="D41" s="7">
        <v>2800</v>
      </c>
      <c r="E41" s="5">
        <f t="shared" si="0"/>
        <v>0</v>
      </c>
      <c r="F41" s="7">
        <v>4800</v>
      </c>
      <c r="G41" s="5">
        <f t="shared" si="0"/>
        <v>2000</v>
      </c>
      <c r="H41" s="7">
        <v>4400</v>
      </c>
      <c r="I41" s="5">
        <f t="shared" si="0"/>
        <v>-400</v>
      </c>
      <c r="J41" s="8">
        <v>5600</v>
      </c>
      <c r="K41" s="5">
        <f t="shared" si="0"/>
        <v>1200</v>
      </c>
      <c r="L41" s="8"/>
      <c r="M41" s="9"/>
      <c r="N41" s="8"/>
      <c r="O41" s="9"/>
    </row>
    <row r="42" spans="1:15" x14ac:dyDescent="0.45">
      <c r="A42" s="3" t="s">
        <v>29</v>
      </c>
      <c r="B42" s="7">
        <v>2820</v>
      </c>
      <c r="C42" s="5"/>
      <c r="D42" s="7">
        <v>2820</v>
      </c>
      <c r="E42" s="5">
        <f t="shared" si="0"/>
        <v>0</v>
      </c>
      <c r="F42" s="7">
        <v>3400</v>
      </c>
      <c r="G42" s="5">
        <f t="shared" si="0"/>
        <v>580</v>
      </c>
      <c r="H42" s="7">
        <v>2320</v>
      </c>
      <c r="I42" s="5">
        <f t="shared" si="0"/>
        <v>-1080</v>
      </c>
      <c r="J42" s="8">
        <v>1380</v>
      </c>
      <c r="K42" s="5">
        <f t="shared" si="0"/>
        <v>-940</v>
      </c>
      <c r="L42" s="8"/>
      <c r="M42" s="9"/>
      <c r="N42" s="8"/>
      <c r="O42" s="9"/>
    </row>
    <row r="43" spans="1:15" x14ac:dyDescent="0.45">
      <c r="A43" s="3" t="s">
        <v>30</v>
      </c>
      <c r="B43" s="7">
        <v>1560</v>
      </c>
      <c r="C43" s="5"/>
      <c r="D43" s="7">
        <v>1560</v>
      </c>
      <c r="E43" s="5">
        <f t="shared" si="0"/>
        <v>0</v>
      </c>
      <c r="F43" s="7">
        <v>2380</v>
      </c>
      <c r="G43" s="5">
        <f t="shared" si="0"/>
        <v>820</v>
      </c>
      <c r="H43" s="7">
        <v>2100</v>
      </c>
      <c r="I43" s="5">
        <f t="shared" si="0"/>
        <v>-280</v>
      </c>
      <c r="J43" s="8">
        <v>1540</v>
      </c>
      <c r="K43" s="5">
        <f t="shared" si="0"/>
        <v>-560</v>
      </c>
      <c r="L43" s="8"/>
      <c r="M43" s="9"/>
      <c r="N43" s="8"/>
      <c r="O43" s="9"/>
    </row>
    <row r="44" spans="1:15" x14ac:dyDescent="0.45">
      <c r="A44" s="12" t="s">
        <v>31</v>
      </c>
      <c r="B44" s="7">
        <v>600</v>
      </c>
      <c r="C44" s="5"/>
      <c r="D44" s="7">
        <v>600</v>
      </c>
      <c r="E44" s="5">
        <f t="shared" si="0"/>
        <v>0</v>
      </c>
      <c r="F44" s="7">
        <v>600</v>
      </c>
      <c r="G44" s="5">
        <f t="shared" si="0"/>
        <v>0</v>
      </c>
      <c r="H44" s="7">
        <v>600</v>
      </c>
      <c r="I44" s="5">
        <f t="shared" si="0"/>
        <v>0</v>
      </c>
      <c r="J44" s="8">
        <v>600</v>
      </c>
      <c r="K44" s="5">
        <f t="shared" si="0"/>
        <v>0</v>
      </c>
      <c r="L44" s="8"/>
      <c r="M44" s="9"/>
      <c r="N44" s="8"/>
      <c r="O44" s="9"/>
    </row>
    <row r="45" spans="1:15" x14ac:dyDescent="0.45">
      <c r="A45" s="3" t="s">
        <v>32</v>
      </c>
      <c r="B45" s="7">
        <v>5400</v>
      </c>
      <c r="C45" s="5"/>
      <c r="D45" s="7">
        <v>5400</v>
      </c>
      <c r="E45" s="5">
        <f t="shared" si="0"/>
        <v>0</v>
      </c>
      <c r="F45" s="7">
        <v>4920</v>
      </c>
      <c r="G45" s="5">
        <f t="shared" si="0"/>
        <v>-480</v>
      </c>
      <c r="H45" s="7">
        <v>3120</v>
      </c>
      <c r="I45" s="5">
        <f t="shared" si="0"/>
        <v>-1800</v>
      </c>
      <c r="J45" s="8">
        <v>2520</v>
      </c>
      <c r="K45" s="5">
        <f t="shared" si="0"/>
        <v>-600</v>
      </c>
      <c r="L45" s="8"/>
      <c r="M45" s="9"/>
      <c r="N45" s="8"/>
      <c r="O45" s="9"/>
    </row>
    <row r="46" spans="1:15" x14ac:dyDescent="0.45">
      <c r="A46" s="3" t="s">
        <v>33</v>
      </c>
      <c r="B46" s="7">
        <v>16200</v>
      </c>
      <c r="C46" s="5"/>
      <c r="D46" s="7">
        <v>14940</v>
      </c>
      <c r="E46" s="5">
        <f t="shared" si="0"/>
        <v>-1260</v>
      </c>
      <c r="F46" s="7">
        <v>11760</v>
      </c>
      <c r="G46" s="5">
        <f t="shared" si="0"/>
        <v>-3180</v>
      </c>
      <c r="H46" s="7">
        <v>9720</v>
      </c>
      <c r="I46" s="5">
        <f t="shared" si="0"/>
        <v>-2040</v>
      </c>
      <c r="J46" s="8">
        <v>6480</v>
      </c>
      <c r="K46" s="5">
        <f t="shared" si="0"/>
        <v>-3240</v>
      </c>
      <c r="L46" s="8"/>
      <c r="M46" s="9"/>
      <c r="N46" s="8"/>
      <c r="O46" s="9"/>
    </row>
    <row r="47" spans="1:15" x14ac:dyDescent="0.45">
      <c r="A47" s="3" t="s">
        <v>52</v>
      </c>
      <c r="B47" s="7">
        <f t="shared" ref="B47:J47" si="1">SUM(B3:B46)</f>
        <v>168483.5</v>
      </c>
      <c r="C47" s="5">
        <f t="shared" si="1"/>
        <v>0</v>
      </c>
      <c r="D47" s="7">
        <f t="shared" si="1"/>
        <v>162544</v>
      </c>
      <c r="E47" s="5">
        <f t="shared" si="1"/>
        <v>-5939.5</v>
      </c>
      <c r="F47" s="7">
        <f t="shared" si="1"/>
        <v>189533.5</v>
      </c>
      <c r="G47" s="5">
        <f t="shared" si="1"/>
        <v>26989.5</v>
      </c>
      <c r="H47" s="7">
        <f t="shared" si="1"/>
        <v>175025</v>
      </c>
      <c r="I47" s="5">
        <f t="shared" si="1"/>
        <v>-14508.5</v>
      </c>
      <c r="J47" s="7">
        <f t="shared" si="1"/>
        <v>169775</v>
      </c>
      <c r="K47" s="5">
        <f t="shared" ref="K47" si="2">SUM(K3:K46)</f>
        <v>-5250</v>
      </c>
      <c r="L47" s="8"/>
      <c r="M47" s="9"/>
      <c r="N47" s="8"/>
      <c r="O47" s="9"/>
    </row>
  </sheetData>
  <phoneticPr fontId="2"/>
  <pageMargins left="0.70866141732283472" right="0.70866141732283472" top="0.74803149606299213" bottom="0.74803149606299213" header="0.31496062992125984" footer="0.31496062992125984"/>
  <pageSetup paperSize="8"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B5BF-3B38-4BAE-B04E-154674C740BB}">
  <sheetPr>
    <pageSetUpPr fitToPage="1"/>
  </sheetPr>
  <dimension ref="A1:BX69"/>
  <sheetViews>
    <sheetView zoomScale="70" zoomScaleNormal="70" workbookViewId="0">
      <pane xSplit="7" ySplit="3" topLeftCell="H4" activePane="bottomRight" state="frozen"/>
      <selection activeCell="BJ61" sqref="BJ61"/>
      <selection pane="topRight" activeCell="BJ61" sqref="BJ61"/>
      <selection pane="bottomLeft" activeCell="BJ61" sqref="BJ61"/>
      <selection pane="bottomRight" activeCell="C49" sqref="C49"/>
    </sheetView>
  </sheetViews>
  <sheetFormatPr defaultColWidth="10.59765625" defaultRowHeight="17.399999999999999" x14ac:dyDescent="0.45"/>
  <cols>
    <col min="1" max="1" width="5.09765625" style="83" bestFit="1" customWidth="1"/>
    <col min="2" max="2" width="21.59765625" style="13" bestFit="1" customWidth="1"/>
    <col min="3" max="3" width="24.09765625" style="13" bestFit="1" customWidth="1"/>
    <col min="4" max="6" width="0" style="13" hidden="1" customWidth="1"/>
    <col min="7" max="7" width="10.59765625" style="13"/>
    <col min="8" max="8" width="11" style="13" hidden="1" customWidth="1"/>
    <col min="9" max="9" width="10.69921875" style="13" hidden="1" customWidth="1"/>
    <col min="10" max="14" width="11" style="13" hidden="1" customWidth="1"/>
    <col min="15" max="15" width="10.8984375" style="13" hidden="1" customWidth="1"/>
    <col min="16" max="17" width="11" style="13" hidden="1" customWidth="1"/>
    <col min="18" max="20" width="10.8984375" style="13" hidden="1" customWidth="1"/>
    <col min="21" max="22" width="10.69921875" style="13" hidden="1" customWidth="1"/>
    <col min="23" max="23" width="11" style="13" hidden="1" customWidth="1"/>
    <col min="24" max="25" width="10.69921875" style="13" hidden="1" customWidth="1"/>
    <col min="26" max="26" width="11" style="13" hidden="1" customWidth="1"/>
    <col min="27" max="28" width="10.69921875" style="13" hidden="1" customWidth="1"/>
    <col min="29" max="29" width="11" style="13" hidden="1" customWidth="1"/>
    <col min="30" max="31" width="10.69921875" style="13" hidden="1" customWidth="1"/>
    <col min="32" max="32" width="11" style="13" hidden="1" customWidth="1"/>
    <col min="33" max="34" width="10.69921875" style="13" hidden="1" customWidth="1"/>
    <col min="35" max="35" width="11" style="13" hidden="1" customWidth="1"/>
    <col min="36" max="37" width="10.69921875" style="13" hidden="1" customWidth="1"/>
    <col min="38" max="38" width="11" style="13" hidden="1" customWidth="1"/>
    <col min="39" max="40" width="10.69921875" style="13" hidden="1" customWidth="1"/>
    <col min="41" max="41" width="11" style="13" hidden="1" customWidth="1"/>
    <col min="42" max="43" width="10.69921875" style="13" hidden="1" customWidth="1"/>
    <col min="44" max="44" width="11" style="13" hidden="1" customWidth="1"/>
    <col min="45" max="46" width="10.69921875" style="13" hidden="1" customWidth="1"/>
    <col min="47" max="47" width="11" style="13" hidden="1" customWidth="1"/>
    <col min="48" max="49" width="10.69921875" style="13" hidden="1" customWidth="1"/>
    <col min="50" max="50" width="11" style="13" bestFit="1" customWidth="1"/>
    <col min="51" max="52" width="10.69921875" style="13" bestFit="1" customWidth="1"/>
    <col min="53" max="53" width="11" style="13" bestFit="1" customWidth="1"/>
    <col min="54" max="55" width="10.69921875" style="13" bestFit="1" customWidth="1"/>
    <col min="56" max="56" width="11" style="13" bestFit="1" customWidth="1"/>
    <col min="57" max="58" width="10.69921875" style="13" bestFit="1" customWidth="1"/>
    <col min="59" max="59" width="11" style="13" bestFit="1" customWidth="1"/>
    <col min="60" max="61" width="10.8984375" style="13" bestFit="1" customWidth="1"/>
    <col min="62" max="62" width="11" style="13" bestFit="1" customWidth="1"/>
    <col min="63" max="64" width="10.69921875" style="13" bestFit="1" customWidth="1"/>
    <col min="65" max="65" width="11" style="13" bestFit="1" customWidth="1"/>
    <col min="66" max="67" width="10.69921875" style="13" bestFit="1" customWidth="1"/>
    <col min="68" max="68" width="11" style="13" bestFit="1" customWidth="1"/>
    <col min="69" max="70" width="10.69921875" style="13" bestFit="1" customWidth="1"/>
    <col min="71" max="71" width="11" style="13" bestFit="1" customWidth="1"/>
    <col min="72" max="73" width="10.69921875" style="13" bestFit="1" customWidth="1"/>
    <col min="74" max="74" width="11" style="13" bestFit="1" customWidth="1"/>
    <col min="75" max="76" width="10.69921875" style="13" bestFit="1" customWidth="1"/>
    <col min="77" max="16384" width="10.59765625" style="13"/>
  </cols>
  <sheetData>
    <row r="1" spans="1:76" ht="22.2" thickBot="1" x14ac:dyDescent="0.5">
      <c r="B1" s="178" t="s">
        <v>131</v>
      </c>
    </row>
    <row r="2" spans="1:76" x14ac:dyDescent="0.45">
      <c r="B2" s="222" t="s">
        <v>0</v>
      </c>
      <c r="C2" s="223"/>
      <c r="D2" s="63" t="s">
        <v>34</v>
      </c>
      <c r="E2" s="26" t="s">
        <v>41</v>
      </c>
      <c r="F2" s="25" t="s">
        <v>35</v>
      </c>
      <c r="G2" s="226" t="s">
        <v>60</v>
      </c>
      <c r="H2" s="219">
        <v>45505</v>
      </c>
      <c r="I2" s="220"/>
      <c r="J2" s="221"/>
      <c r="K2" s="219">
        <f>H2+31</f>
        <v>45536</v>
      </c>
      <c r="L2" s="220"/>
      <c r="M2" s="221"/>
      <c r="N2" s="219">
        <f t="shared" ref="N2" si="0">K2+31</f>
        <v>45567</v>
      </c>
      <c r="O2" s="220"/>
      <c r="P2" s="221"/>
      <c r="Q2" s="219">
        <f t="shared" ref="Q2" si="1">N2+31</f>
        <v>45598</v>
      </c>
      <c r="R2" s="220"/>
      <c r="S2" s="221"/>
      <c r="T2" s="219">
        <f t="shared" ref="T2" si="2">Q2+31</f>
        <v>45629</v>
      </c>
      <c r="U2" s="220"/>
      <c r="V2" s="221"/>
      <c r="W2" s="219">
        <f t="shared" ref="W2" si="3">T2+31</f>
        <v>45660</v>
      </c>
      <c r="X2" s="220"/>
      <c r="Y2" s="221"/>
      <c r="Z2" s="219">
        <f t="shared" ref="Z2" si="4">W2+31</f>
        <v>45691</v>
      </c>
      <c r="AA2" s="220"/>
      <c r="AB2" s="221"/>
      <c r="AC2" s="219">
        <f t="shared" ref="AC2" si="5">Z2+31</f>
        <v>45722</v>
      </c>
      <c r="AD2" s="220"/>
      <c r="AE2" s="221"/>
      <c r="AF2" s="219">
        <f t="shared" ref="AF2" si="6">AC2+31</f>
        <v>45753</v>
      </c>
      <c r="AG2" s="220"/>
      <c r="AH2" s="221"/>
      <c r="AI2" s="219">
        <f t="shared" ref="AI2" si="7">AF2+31</f>
        <v>45784</v>
      </c>
      <c r="AJ2" s="220"/>
      <c r="AK2" s="221"/>
      <c r="AL2" s="219">
        <f t="shared" ref="AL2" si="8">AI2+31</f>
        <v>45815</v>
      </c>
      <c r="AM2" s="220"/>
      <c r="AN2" s="221"/>
      <c r="AO2" s="219">
        <f t="shared" ref="AO2" si="9">AL2+31</f>
        <v>45846</v>
      </c>
      <c r="AP2" s="220"/>
      <c r="AQ2" s="221"/>
      <c r="AR2" s="219">
        <f t="shared" ref="AR2" si="10">AO2+31</f>
        <v>45877</v>
      </c>
      <c r="AS2" s="220"/>
      <c r="AT2" s="221"/>
      <c r="AU2" s="219">
        <f t="shared" ref="AU2" si="11">AR2+31</f>
        <v>45908</v>
      </c>
      <c r="AV2" s="220"/>
      <c r="AW2" s="221"/>
      <c r="AX2" s="219">
        <f t="shared" ref="AX2" si="12">AU2+31</f>
        <v>45939</v>
      </c>
      <c r="AY2" s="220"/>
      <c r="AZ2" s="221"/>
      <c r="BA2" s="219">
        <f t="shared" ref="BA2" si="13">AX2+31</f>
        <v>45970</v>
      </c>
      <c r="BB2" s="220"/>
      <c r="BC2" s="221"/>
      <c r="BD2" s="219">
        <f t="shared" ref="BD2" si="14">BA2+31</f>
        <v>46001</v>
      </c>
      <c r="BE2" s="220"/>
      <c r="BF2" s="221"/>
      <c r="BG2" s="219">
        <f t="shared" ref="BG2" si="15">BD2+31</f>
        <v>46032</v>
      </c>
      <c r="BH2" s="220"/>
      <c r="BI2" s="221"/>
      <c r="BJ2" s="219">
        <f t="shared" ref="BJ2" si="16">BG2+31</f>
        <v>46063</v>
      </c>
      <c r="BK2" s="220"/>
      <c r="BL2" s="221"/>
      <c r="BM2" s="219">
        <f t="shared" ref="BM2" si="17">BJ2+31</f>
        <v>46094</v>
      </c>
      <c r="BN2" s="220"/>
      <c r="BO2" s="221"/>
      <c r="BP2" s="219">
        <f t="shared" ref="BP2" si="18">BM2+31</f>
        <v>46125</v>
      </c>
      <c r="BQ2" s="220"/>
      <c r="BR2" s="221"/>
      <c r="BS2" s="219">
        <f t="shared" ref="BS2" si="19">BP2+31</f>
        <v>46156</v>
      </c>
      <c r="BT2" s="220"/>
      <c r="BU2" s="221"/>
      <c r="BV2" s="219">
        <f t="shared" ref="BV2" si="20">BS2+31</f>
        <v>46187</v>
      </c>
      <c r="BW2" s="220"/>
      <c r="BX2" s="221"/>
    </row>
    <row r="3" spans="1:76" ht="18" thickBot="1" x14ac:dyDescent="0.5">
      <c r="B3" s="224"/>
      <c r="C3" s="225"/>
      <c r="D3" s="64"/>
      <c r="E3" s="36"/>
      <c r="F3" s="35"/>
      <c r="G3" s="227"/>
      <c r="H3" s="38" t="s">
        <v>55</v>
      </c>
      <c r="I3" s="37" t="s">
        <v>54</v>
      </c>
      <c r="J3" s="39" t="s">
        <v>56</v>
      </c>
      <c r="K3" s="38" t="s">
        <v>55</v>
      </c>
      <c r="L3" s="37" t="s">
        <v>54</v>
      </c>
      <c r="M3" s="39" t="s">
        <v>56</v>
      </c>
      <c r="N3" s="38" t="s">
        <v>55</v>
      </c>
      <c r="O3" s="37" t="s">
        <v>54</v>
      </c>
      <c r="P3" s="39" t="s">
        <v>56</v>
      </c>
      <c r="Q3" s="38" t="s">
        <v>55</v>
      </c>
      <c r="R3" s="37" t="s">
        <v>54</v>
      </c>
      <c r="S3" s="39" t="s">
        <v>56</v>
      </c>
      <c r="T3" s="38" t="s">
        <v>55</v>
      </c>
      <c r="U3" s="37" t="s">
        <v>54</v>
      </c>
      <c r="V3" s="39" t="s">
        <v>56</v>
      </c>
      <c r="W3" s="87" t="s">
        <v>55</v>
      </c>
      <c r="X3" s="36" t="s">
        <v>54</v>
      </c>
      <c r="Y3" s="39" t="s">
        <v>56</v>
      </c>
      <c r="Z3" s="87" t="s">
        <v>55</v>
      </c>
      <c r="AA3" s="36" t="s">
        <v>54</v>
      </c>
      <c r="AB3" s="39" t="s">
        <v>56</v>
      </c>
      <c r="AC3" s="87" t="s">
        <v>55</v>
      </c>
      <c r="AD3" s="36" t="s">
        <v>54</v>
      </c>
      <c r="AE3" s="39" t="s">
        <v>56</v>
      </c>
      <c r="AF3" s="87" t="s">
        <v>55</v>
      </c>
      <c r="AG3" s="36" t="s">
        <v>54</v>
      </c>
      <c r="AH3" s="39" t="s">
        <v>56</v>
      </c>
      <c r="AI3" s="87" t="s">
        <v>55</v>
      </c>
      <c r="AJ3" s="36" t="s">
        <v>54</v>
      </c>
      <c r="AK3" s="39" t="s">
        <v>56</v>
      </c>
      <c r="AL3" s="87" t="s">
        <v>55</v>
      </c>
      <c r="AM3" s="36" t="s">
        <v>54</v>
      </c>
      <c r="AN3" s="39" t="s">
        <v>56</v>
      </c>
      <c r="AO3" s="87" t="s">
        <v>55</v>
      </c>
      <c r="AP3" s="36" t="s">
        <v>54</v>
      </c>
      <c r="AQ3" s="39" t="s">
        <v>56</v>
      </c>
      <c r="AR3" s="87" t="s">
        <v>55</v>
      </c>
      <c r="AS3" s="36" t="s">
        <v>54</v>
      </c>
      <c r="AT3" s="39" t="s">
        <v>56</v>
      </c>
      <c r="AU3" s="87" t="s">
        <v>55</v>
      </c>
      <c r="AV3" s="36" t="s">
        <v>54</v>
      </c>
      <c r="AW3" s="39" t="s">
        <v>56</v>
      </c>
      <c r="AX3" s="87" t="s">
        <v>55</v>
      </c>
      <c r="AY3" s="36" t="s">
        <v>54</v>
      </c>
      <c r="AZ3" s="39" t="s">
        <v>56</v>
      </c>
      <c r="BA3" s="87" t="s">
        <v>55</v>
      </c>
      <c r="BB3" s="36" t="s">
        <v>54</v>
      </c>
      <c r="BC3" s="39" t="s">
        <v>56</v>
      </c>
      <c r="BD3" s="87" t="s">
        <v>55</v>
      </c>
      <c r="BE3" s="36" t="s">
        <v>54</v>
      </c>
      <c r="BF3" s="39" t="s">
        <v>56</v>
      </c>
      <c r="BG3" s="87" t="s">
        <v>55</v>
      </c>
      <c r="BH3" s="36" t="s">
        <v>54</v>
      </c>
      <c r="BI3" s="39" t="s">
        <v>56</v>
      </c>
      <c r="BJ3" s="87" t="s">
        <v>55</v>
      </c>
      <c r="BK3" s="36" t="s">
        <v>54</v>
      </c>
      <c r="BL3" s="39" t="s">
        <v>56</v>
      </c>
      <c r="BM3" s="87" t="s">
        <v>55</v>
      </c>
      <c r="BN3" s="36" t="s">
        <v>54</v>
      </c>
      <c r="BO3" s="39" t="s">
        <v>56</v>
      </c>
      <c r="BP3" s="87" t="s">
        <v>129</v>
      </c>
      <c r="BQ3" s="36" t="s">
        <v>54</v>
      </c>
      <c r="BR3" s="39" t="s">
        <v>56</v>
      </c>
      <c r="BS3" s="87" t="s">
        <v>129</v>
      </c>
      <c r="BT3" s="36" t="s">
        <v>54</v>
      </c>
      <c r="BU3" s="39" t="s">
        <v>56</v>
      </c>
      <c r="BV3" s="87" t="s">
        <v>114</v>
      </c>
      <c r="BW3" s="36" t="s">
        <v>54</v>
      </c>
      <c r="BX3" s="39" t="s">
        <v>56</v>
      </c>
    </row>
    <row r="4" spans="1:76" x14ac:dyDescent="0.45">
      <c r="A4" s="230">
        <v>1</v>
      </c>
      <c r="B4" s="232" t="s">
        <v>63</v>
      </c>
      <c r="C4" s="234" t="s">
        <v>64</v>
      </c>
      <c r="D4" s="65">
        <v>2800</v>
      </c>
      <c r="E4" s="45"/>
      <c r="F4" s="44">
        <v>2800</v>
      </c>
      <c r="G4" s="46" t="s">
        <v>57</v>
      </c>
      <c r="H4" s="236">
        <v>3200</v>
      </c>
      <c r="I4" s="47">
        <v>800</v>
      </c>
      <c r="J4" s="228">
        <v>4800</v>
      </c>
      <c r="K4" s="236">
        <v>1600</v>
      </c>
      <c r="L4" s="47">
        <v>1600</v>
      </c>
      <c r="M4" s="228">
        <v>4400</v>
      </c>
      <c r="N4" s="236">
        <v>2400</v>
      </c>
      <c r="O4" s="47">
        <v>800</v>
      </c>
      <c r="P4" s="228">
        <v>5600</v>
      </c>
      <c r="Q4" s="236">
        <v>1600</v>
      </c>
      <c r="R4" s="47">
        <v>2400</v>
      </c>
      <c r="S4" s="228">
        <v>4000</v>
      </c>
      <c r="T4" s="236">
        <v>2400</v>
      </c>
      <c r="U4" s="47"/>
      <c r="V4" s="228">
        <v>6000</v>
      </c>
      <c r="W4" s="243">
        <v>1600</v>
      </c>
      <c r="X4" s="95">
        <v>1600</v>
      </c>
      <c r="Y4" s="228">
        <v>5600</v>
      </c>
      <c r="Z4" s="243"/>
      <c r="AA4" s="95">
        <v>1600</v>
      </c>
      <c r="AB4" s="228">
        <v>5600</v>
      </c>
      <c r="AC4" s="243">
        <v>4800</v>
      </c>
      <c r="AD4" s="95">
        <v>1600</v>
      </c>
      <c r="AE4" s="228">
        <v>6400</v>
      </c>
      <c r="AF4" s="243"/>
      <c r="AG4" s="95">
        <v>800</v>
      </c>
      <c r="AH4" s="228">
        <v>5200</v>
      </c>
      <c r="AI4" s="243"/>
      <c r="AJ4" s="95">
        <v>800</v>
      </c>
      <c r="AK4" s="228">
        <v>3200</v>
      </c>
      <c r="AL4" s="243"/>
      <c r="AM4" s="95">
        <v>1600</v>
      </c>
      <c r="AN4" s="228">
        <v>1600</v>
      </c>
      <c r="AO4" s="243">
        <v>4000</v>
      </c>
      <c r="AP4" s="95">
        <v>800</v>
      </c>
      <c r="AQ4" s="228">
        <v>4400</v>
      </c>
      <c r="AR4" s="243">
        <v>5600</v>
      </c>
      <c r="AS4" s="95">
        <v>1600</v>
      </c>
      <c r="AT4" s="228">
        <v>8000</v>
      </c>
      <c r="AU4" s="243">
        <v>1600</v>
      </c>
      <c r="AV4" s="95">
        <v>1600</v>
      </c>
      <c r="AW4" s="228">
        <v>7200</v>
      </c>
      <c r="AX4" s="243">
        <v>3200</v>
      </c>
      <c r="AY4" s="95">
        <v>800</v>
      </c>
      <c r="AZ4" s="228">
        <v>8800</v>
      </c>
      <c r="BA4" s="243">
        <v>1600</v>
      </c>
      <c r="BB4" s="95">
        <v>2400</v>
      </c>
      <c r="BC4" s="228">
        <v>8000</v>
      </c>
      <c r="BD4" s="243">
        <v>800</v>
      </c>
      <c r="BE4" s="95">
        <v>1600</v>
      </c>
      <c r="BF4" s="228">
        <v>6800</v>
      </c>
      <c r="BG4" s="243">
        <v>800</v>
      </c>
      <c r="BH4" s="95">
        <v>800</v>
      </c>
      <c r="BI4" s="228">
        <v>6400</v>
      </c>
      <c r="BJ4" s="243">
        <v>1600</v>
      </c>
      <c r="BK4" s="95">
        <v>800</v>
      </c>
      <c r="BL4" s="228">
        <v>6400</v>
      </c>
      <c r="BM4" s="243"/>
      <c r="BN4" s="95">
        <v>3200</v>
      </c>
      <c r="BO4" s="228">
        <v>3200</v>
      </c>
      <c r="BP4" s="243">
        <v>2400</v>
      </c>
      <c r="BQ4" s="95"/>
      <c r="BR4" s="228"/>
      <c r="BS4" s="243"/>
      <c r="BT4" s="95"/>
      <c r="BU4" s="228"/>
      <c r="BV4" s="243">
        <v>4800</v>
      </c>
      <c r="BW4" s="95"/>
      <c r="BX4" s="228"/>
    </row>
    <row r="5" spans="1:76" x14ac:dyDescent="0.45">
      <c r="A5" s="231"/>
      <c r="B5" s="233"/>
      <c r="C5" s="235"/>
      <c r="D5" s="66"/>
      <c r="E5" s="15"/>
      <c r="F5" s="14"/>
      <c r="G5" s="27" t="s">
        <v>58</v>
      </c>
      <c r="H5" s="237"/>
      <c r="I5" s="18">
        <v>400</v>
      </c>
      <c r="J5" s="229"/>
      <c r="K5" s="237"/>
      <c r="L5" s="18">
        <v>400</v>
      </c>
      <c r="M5" s="229"/>
      <c r="N5" s="237"/>
      <c r="O5" s="18">
        <v>400</v>
      </c>
      <c r="P5" s="229"/>
      <c r="Q5" s="237"/>
      <c r="R5" s="18">
        <v>800</v>
      </c>
      <c r="S5" s="229"/>
      <c r="T5" s="237"/>
      <c r="U5" s="18">
        <v>400</v>
      </c>
      <c r="V5" s="229"/>
      <c r="W5" s="244"/>
      <c r="X5" s="96">
        <v>400</v>
      </c>
      <c r="Y5" s="229"/>
      <c r="Z5" s="244"/>
      <c r="AA5" s="96"/>
      <c r="AB5" s="229"/>
      <c r="AC5" s="244"/>
      <c r="AD5" s="96">
        <v>800</v>
      </c>
      <c r="AE5" s="229"/>
      <c r="AF5" s="244"/>
      <c r="AG5" s="96">
        <v>400</v>
      </c>
      <c r="AH5" s="229"/>
      <c r="AI5" s="244"/>
      <c r="AJ5" s="96">
        <v>1200</v>
      </c>
      <c r="AK5" s="229"/>
      <c r="AL5" s="244"/>
      <c r="AM5" s="96"/>
      <c r="AN5" s="229"/>
      <c r="AO5" s="244"/>
      <c r="AP5" s="96">
        <v>400</v>
      </c>
      <c r="AQ5" s="229"/>
      <c r="AR5" s="244"/>
      <c r="AS5" s="96">
        <v>400</v>
      </c>
      <c r="AT5" s="229"/>
      <c r="AU5" s="244"/>
      <c r="AV5" s="96">
        <v>800</v>
      </c>
      <c r="AW5" s="229"/>
      <c r="AX5" s="244"/>
      <c r="AY5" s="96">
        <v>800</v>
      </c>
      <c r="AZ5" s="229"/>
      <c r="BA5" s="244"/>
      <c r="BB5" s="96"/>
      <c r="BC5" s="229"/>
      <c r="BD5" s="244"/>
      <c r="BE5" s="96">
        <v>400</v>
      </c>
      <c r="BF5" s="229"/>
      <c r="BG5" s="244"/>
      <c r="BH5" s="96">
        <v>400</v>
      </c>
      <c r="BI5" s="229"/>
      <c r="BJ5" s="244"/>
      <c r="BK5" s="96">
        <v>800</v>
      </c>
      <c r="BL5" s="229"/>
      <c r="BM5" s="244"/>
      <c r="BN5" s="96"/>
      <c r="BO5" s="229"/>
      <c r="BP5" s="244"/>
      <c r="BQ5" s="96"/>
      <c r="BR5" s="229"/>
      <c r="BS5" s="244"/>
      <c r="BT5" s="96"/>
      <c r="BU5" s="229"/>
      <c r="BV5" s="244"/>
      <c r="BW5" s="96"/>
      <c r="BX5" s="229"/>
    </row>
    <row r="6" spans="1:76" x14ac:dyDescent="0.45">
      <c r="A6" s="82">
        <v>2</v>
      </c>
      <c r="B6" s="61" t="s">
        <v>63</v>
      </c>
      <c r="C6" s="71" t="s">
        <v>69</v>
      </c>
      <c r="D6" s="66">
        <v>800</v>
      </c>
      <c r="E6" s="15"/>
      <c r="F6" s="14">
        <v>800</v>
      </c>
      <c r="G6" s="27"/>
      <c r="H6" s="16">
        <v>4000</v>
      </c>
      <c r="I6" s="18">
        <v>3200</v>
      </c>
      <c r="J6" s="19">
        <v>1600</v>
      </c>
      <c r="K6" s="16">
        <v>4000</v>
      </c>
      <c r="L6" s="18">
        <v>5600</v>
      </c>
      <c r="M6" s="19"/>
      <c r="N6" s="16">
        <v>9600</v>
      </c>
      <c r="O6" s="18">
        <v>5600</v>
      </c>
      <c r="P6" s="19">
        <v>4000</v>
      </c>
      <c r="Q6" s="16">
        <v>6400</v>
      </c>
      <c r="R6" s="18">
        <v>4000</v>
      </c>
      <c r="S6" s="19">
        <v>6400</v>
      </c>
      <c r="T6" s="16">
        <v>6400</v>
      </c>
      <c r="U6" s="18">
        <v>4800</v>
      </c>
      <c r="V6" s="19">
        <v>8000</v>
      </c>
      <c r="W6" s="89">
        <v>6400</v>
      </c>
      <c r="X6" s="96">
        <v>1600</v>
      </c>
      <c r="Y6" s="19">
        <v>12800</v>
      </c>
      <c r="Z6" s="89"/>
      <c r="AA6" s="96">
        <v>4800</v>
      </c>
      <c r="AB6" s="19">
        <v>8000</v>
      </c>
      <c r="AC6" s="89"/>
      <c r="AD6" s="96">
        <v>4000</v>
      </c>
      <c r="AE6" s="19">
        <v>4000</v>
      </c>
      <c r="AF6" s="89">
        <v>6400</v>
      </c>
      <c r="AG6" s="96">
        <v>1600</v>
      </c>
      <c r="AH6" s="19">
        <v>8800</v>
      </c>
      <c r="AI6" s="89"/>
      <c r="AJ6" s="96">
        <v>1600</v>
      </c>
      <c r="AK6" s="19">
        <v>7200</v>
      </c>
      <c r="AL6" s="89"/>
      <c r="AM6" s="96">
        <v>3200</v>
      </c>
      <c r="AN6" s="19">
        <v>4000</v>
      </c>
      <c r="AO6" s="89"/>
      <c r="AP6" s="96">
        <v>4000</v>
      </c>
      <c r="AQ6" s="19"/>
      <c r="AR6" s="89">
        <v>6400</v>
      </c>
      <c r="AS6" s="96">
        <v>3200</v>
      </c>
      <c r="AT6" s="19">
        <v>3200</v>
      </c>
      <c r="AU6" s="89">
        <v>3200</v>
      </c>
      <c r="AV6" s="96">
        <v>5600</v>
      </c>
      <c r="AW6" s="19">
        <v>800</v>
      </c>
      <c r="AX6" s="89">
        <v>6400</v>
      </c>
      <c r="AY6" s="96">
        <v>5600</v>
      </c>
      <c r="AZ6" s="19">
        <v>1600</v>
      </c>
      <c r="BA6" s="89">
        <v>6400</v>
      </c>
      <c r="BB6" s="96">
        <v>4800</v>
      </c>
      <c r="BC6" s="19">
        <v>3200</v>
      </c>
      <c r="BD6" s="89">
        <v>5600</v>
      </c>
      <c r="BE6" s="96">
        <v>1600</v>
      </c>
      <c r="BF6" s="19">
        <v>7200</v>
      </c>
      <c r="BG6" s="89">
        <v>6400</v>
      </c>
      <c r="BH6" s="96">
        <v>6400</v>
      </c>
      <c r="BI6" s="19">
        <v>7200</v>
      </c>
      <c r="BJ6" s="89">
        <v>5600</v>
      </c>
      <c r="BK6" s="96">
        <v>8000</v>
      </c>
      <c r="BL6" s="19">
        <v>4800</v>
      </c>
      <c r="BM6" s="89"/>
      <c r="BN6" s="96"/>
      <c r="BO6" s="19">
        <v>4800</v>
      </c>
      <c r="BP6" s="89">
        <v>1600</v>
      </c>
      <c r="BQ6" s="96"/>
      <c r="BR6" s="19"/>
      <c r="BS6" s="89"/>
      <c r="BT6" s="96"/>
      <c r="BU6" s="19"/>
      <c r="BV6" s="89"/>
      <c r="BW6" s="96"/>
      <c r="BX6" s="19"/>
    </row>
    <row r="7" spans="1:76" hidden="1" x14ac:dyDescent="0.45">
      <c r="A7" s="82">
        <v>3</v>
      </c>
      <c r="B7" s="85" t="s">
        <v>63</v>
      </c>
      <c r="C7" s="86" t="s">
        <v>70</v>
      </c>
      <c r="D7" s="66">
        <v>700</v>
      </c>
      <c r="E7" s="15"/>
      <c r="F7" s="14">
        <v>700</v>
      </c>
      <c r="G7" s="27"/>
      <c r="H7" s="16"/>
      <c r="I7" s="18"/>
      <c r="J7" s="19">
        <v>700</v>
      </c>
      <c r="K7" s="16"/>
      <c r="L7" s="18"/>
      <c r="M7" s="19">
        <v>700</v>
      </c>
      <c r="N7" s="16"/>
      <c r="O7" s="18"/>
      <c r="P7" s="19">
        <v>700</v>
      </c>
      <c r="Q7" s="16"/>
      <c r="R7" s="18"/>
      <c r="S7" s="19">
        <v>700</v>
      </c>
      <c r="T7" s="16"/>
      <c r="U7" s="18"/>
      <c r="V7" s="19">
        <v>700</v>
      </c>
      <c r="W7" s="89"/>
      <c r="X7" s="96"/>
      <c r="Y7" s="19">
        <v>700</v>
      </c>
      <c r="Z7" s="89"/>
      <c r="AA7" s="96"/>
      <c r="AB7" s="19">
        <v>700</v>
      </c>
      <c r="AC7" s="89"/>
      <c r="AD7" s="96"/>
      <c r="AE7" s="19">
        <v>300</v>
      </c>
      <c r="AF7" s="92"/>
      <c r="AG7" s="96">
        <v>300</v>
      </c>
      <c r="AH7" s="23"/>
      <c r="AI7" s="92"/>
      <c r="AJ7" s="99"/>
      <c r="AK7" s="23"/>
      <c r="AL7" s="92"/>
      <c r="AM7" s="99"/>
      <c r="AN7" s="23"/>
      <c r="AO7" s="92"/>
      <c r="AP7" s="99"/>
      <c r="AQ7" s="23"/>
      <c r="AR7" s="92"/>
      <c r="AS7" s="99"/>
      <c r="AT7" s="23"/>
      <c r="AU7" s="92"/>
      <c r="AV7" s="99"/>
      <c r="AW7" s="23"/>
      <c r="AX7" s="92"/>
      <c r="AY7" s="99"/>
      <c r="AZ7" s="23"/>
      <c r="BA7" s="92"/>
      <c r="BB7" s="99"/>
      <c r="BC7" s="23"/>
      <c r="BD7" s="92"/>
      <c r="BE7" s="99"/>
      <c r="BF7" s="23"/>
      <c r="BG7" s="92"/>
      <c r="BH7" s="99"/>
      <c r="BI7" s="23"/>
      <c r="BJ7" s="92"/>
      <c r="BK7" s="99"/>
      <c r="BL7" s="23"/>
      <c r="BM7" s="92"/>
      <c r="BN7" s="99"/>
      <c r="BO7" s="23"/>
      <c r="BP7" s="92"/>
      <c r="BQ7" s="99"/>
      <c r="BR7" s="23"/>
      <c r="BS7" s="92"/>
      <c r="BT7" s="99"/>
      <c r="BU7" s="23"/>
      <c r="BV7" s="92"/>
      <c r="BW7" s="99"/>
      <c r="BX7" s="23"/>
    </row>
    <row r="8" spans="1:76" ht="18" thickBot="1" x14ac:dyDescent="0.5">
      <c r="A8" s="82">
        <v>3</v>
      </c>
      <c r="B8" s="62" t="s">
        <v>63</v>
      </c>
      <c r="C8" s="72" t="s">
        <v>71</v>
      </c>
      <c r="D8" s="67">
        <v>1000</v>
      </c>
      <c r="E8" s="29"/>
      <c r="F8" s="28">
        <v>1000</v>
      </c>
      <c r="G8" s="30"/>
      <c r="H8" s="21">
        <v>5000</v>
      </c>
      <c r="I8" s="20">
        <v>4000</v>
      </c>
      <c r="J8" s="22">
        <v>2000</v>
      </c>
      <c r="K8" s="21">
        <v>3000</v>
      </c>
      <c r="L8" s="20">
        <v>5000</v>
      </c>
      <c r="M8" s="22"/>
      <c r="N8" s="21">
        <v>10000</v>
      </c>
      <c r="O8" s="20">
        <v>5000</v>
      </c>
      <c r="P8" s="22">
        <v>5000</v>
      </c>
      <c r="Q8" s="21">
        <v>6000</v>
      </c>
      <c r="R8" s="20">
        <v>3000</v>
      </c>
      <c r="S8" s="22">
        <v>8000</v>
      </c>
      <c r="T8" s="21">
        <v>6000</v>
      </c>
      <c r="U8" s="20">
        <v>4000</v>
      </c>
      <c r="V8" s="22">
        <v>10000</v>
      </c>
      <c r="W8" s="90">
        <v>8000</v>
      </c>
      <c r="X8" s="97">
        <v>1000</v>
      </c>
      <c r="Y8" s="22">
        <v>17000</v>
      </c>
      <c r="Z8" s="90"/>
      <c r="AA8" s="97">
        <v>2000</v>
      </c>
      <c r="AB8" s="22">
        <v>15000</v>
      </c>
      <c r="AC8" s="90"/>
      <c r="AD8" s="97">
        <v>2000</v>
      </c>
      <c r="AE8" s="22">
        <v>13000</v>
      </c>
      <c r="AF8" s="90">
        <v>7000</v>
      </c>
      <c r="AG8" s="97">
        <v>2000</v>
      </c>
      <c r="AH8" s="22">
        <v>18000</v>
      </c>
      <c r="AI8" s="90"/>
      <c r="AJ8" s="97"/>
      <c r="AK8" s="22">
        <v>18000</v>
      </c>
      <c r="AL8" s="90"/>
      <c r="AM8" s="97">
        <v>7000</v>
      </c>
      <c r="AN8" s="22">
        <v>10000</v>
      </c>
      <c r="AO8" s="90"/>
      <c r="AP8" s="97">
        <v>1000</v>
      </c>
      <c r="AQ8" s="22">
        <v>9000</v>
      </c>
      <c r="AR8" s="90"/>
      <c r="AS8" s="97">
        <v>6000</v>
      </c>
      <c r="AT8" s="22">
        <v>3000</v>
      </c>
      <c r="AU8" s="90">
        <v>2000</v>
      </c>
      <c r="AV8" s="97">
        <v>4000</v>
      </c>
      <c r="AW8" s="22">
        <v>1000</v>
      </c>
      <c r="AX8" s="90">
        <v>5000</v>
      </c>
      <c r="AY8" s="97">
        <v>6000</v>
      </c>
      <c r="AZ8" s="22"/>
      <c r="BA8" s="90">
        <v>6000</v>
      </c>
      <c r="BB8" s="97">
        <v>3000</v>
      </c>
      <c r="BC8" s="22">
        <v>3000</v>
      </c>
      <c r="BD8" s="90">
        <v>6000</v>
      </c>
      <c r="BE8" s="97">
        <v>4000</v>
      </c>
      <c r="BF8" s="22">
        <v>5000</v>
      </c>
      <c r="BG8" s="90">
        <v>6000</v>
      </c>
      <c r="BH8" s="97">
        <v>1000</v>
      </c>
      <c r="BI8" s="22">
        <v>10000</v>
      </c>
      <c r="BJ8" s="90">
        <v>5000</v>
      </c>
      <c r="BK8" s="97">
        <v>1000</v>
      </c>
      <c r="BL8" s="22">
        <v>14000</v>
      </c>
      <c r="BM8" s="90"/>
      <c r="BN8" s="97"/>
      <c r="BO8" s="22">
        <v>14000</v>
      </c>
      <c r="BP8" s="90">
        <v>5000</v>
      </c>
      <c r="BQ8" s="97"/>
      <c r="BR8" s="22"/>
      <c r="BS8" s="90"/>
      <c r="BT8" s="97"/>
      <c r="BU8" s="22"/>
      <c r="BV8" s="90"/>
      <c r="BW8" s="97"/>
      <c r="BX8" s="22"/>
    </row>
    <row r="9" spans="1:76" x14ac:dyDescent="0.45">
      <c r="A9" s="82">
        <v>4</v>
      </c>
      <c r="B9" s="73" t="s">
        <v>65</v>
      </c>
      <c r="C9" s="74" t="s">
        <v>72</v>
      </c>
      <c r="D9" s="68">
        <v>3300</v>
      </c>
      <c r="E9" s="41"/>
      <c r="F9" s="40">
        <v>3300</v>
      </c>
      <c r="G9" s="42" t="s">
        <v>59</v>
      </c>
      <c r="H9" s="34">
        <v>3780</v>
      </c>
      <c r="I9" s="43">
        <v>2520</v>
      </c>
      <c r="J9" s="32">
        <v>4560</v>
      </c>
      <c r="K9" s="34">
        <v>1260</v>
      </c>
      <c r="L9" s="43">
        <v>2520</v>
      </c>
      <c r="M9" s="32">
        <v>3300</v>
      </c>
      <c r="N9" s="34">
        <v>3780</v>
      </c>
      <c r="O9" s="43">
        <v>2520</v>
      </c>
      <c r="P9" s="32">
        <v>4560</v>
      </c>
      <c r="Q9" s="34">
        <v>1260</v>
      </c>
      <c r="R9" s="43">
        <v>2520</v>
      </c>
      <c r="S9" s="32">
        <v>3300</v>
      </c>
      <c r="T9" s="34">
        <v>2520</v>
      </c>
      <c r="U9" s="43">
        <v>2040</v>
      </c>
      <c r="V9" s="32">
        <v>3780</v>
      </c>
      <c r="W9" s="88">
        <v>2520</v>
      </c>
      <c r="X9" s="98">
        <v>2520</v>
      </c>
      <c r="Y9" s="32">
        <v>3780</v>
      </c>
      <c r="Z9" s="88">
        <v>2520</v>
      </c>
      <c r="AA9" s="98">
        <v>2520</v>
      </c>
      <c r="AB9" s="32">
        <v>3780</v>
      </c>
      <c r="AC9" s="88">
        <v>1260</v>
      </c>
      <c r="AD9" s="98">
        <v>2520</v>
      </c>
      <c r="AE9" s="32">
        <v>2520</v>
      </c>
      <c r="AF9" s="88">
        <v>1260</v>
      </c>
      <c r="AG9" s="98">
        <v>1260</v>
      </c>
      <c r="AH9" s="32">
        <v>2520</v>
      </c>
      <c r="AI9" s="88">
        <v>5040</v>
      </c>
      <c r="AJ9" s="98">
        <v>2520</v>
      </c>
      <c r="AK9" s="32">
        <v>5040</v>
      </c>
      <c r="AL9" s="88">
        <v>1260</v>
      </c>
      <c r="AM9" s="98">
        <v>1260</v>
      </c>
      <c r="AN9" s="32">
        <v>3780</v>
      </c>
      <c r="AO9" s="88">
        <v>2520</v>
      </c>
      <c r="AP9" s="98">
        <v>2520</v>
      </c>
      <c r="AQ9" s="32">
        <v>3780</v>
      </c>
      <c r="AR9" s="88"/>
      <c r="AS9" s="98"/>
      <c r="AT9" s="32">
        <v>3780</v>
      </c>
      <c r="AU9" s="88">
        <v>1260</v>
      </c>
      <c r="AV9" s="98">
        <v>2520</v>
      </c>
      <c r="AW9" s="32">
        <v>2520</v>
      </c>
      <c r="AX9" s="88">
        <v>3780</v>
      </c>
      <c r="AY9" s="98">
        <v>2520</v>
      </c>
      <c r="AZ9" s="32">
        <v>3780</v>
      </c>
      <c r="BA9" s="88">
        <v>2940</v>
      </c>
      <c r="BB9" s="98">
        <v>3780</v>
      </c>
      <c r="BC9" s="32">
        <v>2940</v>
      </c>
      <c r="BD9" s="88">
        <v>2520</v>
      </c>
      <c r="BE9" s="98">
        <v>2520</v>
      </c>
      <c r="BF9" s="32">
        <v>2940</v>
      </c>
      <c r="BG9" s="88">
        <v>3780</v>
      </c>
      <c r="BH9" s="98">
        <v>5040</v>
      </c>
      <c r="BI9" s="32">
        <v>1680</v>
      </c>
      <c r="BJ9" s="88">
        <v>6300</v>
      </c>
      <c r="BK9" s="98">
        <v>2880</v>
      </c>
      <c r="BL9" s="32">
        <v>5100</v>
      </c>
      <c r="BM9" s="88">
        <v>2520</v>
      </c>
      <c r="BN9" s="98">
        <v>5580</v>
      </c>
      <c r="BO9" s="32">
        <v>2040</v>
      </c>
      <c r="BP9" s="88">
        <v>8820</v>
      </c>
      <c r="BQ9" s="98"/>
      <c r="BR9" s="32"/>
      <c r="BS9" s="88">
        <v>3780</v>
      </c>
      <c r="BT9" s="98"/>
      <c r="BU9" s="32"/>
      <c r="BV9" s="88">
        <v>5040</v>
      </c>
      <c r="BW9" s="98"/>
      <c r="BX9" s="32"/>
    </row>
    <row r="10" spans="1:76" x14ac:dyDescent="0.45">
      <c r="A10" s="238">
        <v>5</v>
      </c>
      <c r="B10" s="239" t="s">
        <v>65</v>
      </c>
      <c r="C10" s="241" t="s">
        <v>73</v>
      </c>
      <c r="D10" s="66">
        <v>28825</v>
      </c>
      <c r="E10" s="15"/>
      <c r="F10" s="14">
        <v>28825</v>
      </c>
      <c r="G10" s="27" t="s">
        <v>110</v>
      </c>
      <c r="H10" s="16">
        <v>3150</v>
      </c>
      <c r="I10" s="18">
        <v>900</v>
      </c>
      <c r="J10" s="19">
        <v>2925</v>
      </c>
      <c r="K10" s="16">
        <v>3150</v>
      </c>
      <c r="L10" s="18">
        <v>300</v>
      </c>
      <c r="M10" s="19">
        <v>5775</v>
      </c>
      <c r="N10" s="16"/>
      <c r="O10" s="18">
        <v>1950</v>
      </c>
      <c r="P10" s="19">
        <v>3825</v>
      </c>
      <c r="Q10" s="16">
        <v>3150</v>
      </c>
      <c r="R10" s="18">
        <v>1050</v>
      </c>
      <c r="S10" s="19">
        <v>5925</v>
      </c>
      <c r="T10" s="16"/>
      <c r="U10" s="18">
        <v>2100</v>
      </c>
      <c r="V10" s="19">
        <v>2475</v>
      </c>
      <c r="W10" s="89">
        <v>3150</v>
      </c>
      <c r="X10" s="96">
        <v>3225</v>
      </c>
      <c r="Y10" s="19">
        <v>2700</v>
      </c>
      <c r="Z10" s="89">
        <v>3150</v>
      </c>
      <c r="AA10" s="96">
        <v>2850</v>
      </c>
      <c r="AB10" s="19">
        <v>1950</v>
      </c>
      <c r="AC10" s="89">
        <v>5650</v>
      </c>
      <c r="AD10" s="96">
        <v>2700</v>
      </c>
      <c r="AE10" s="19">
        <v>4900</v>
      </c>
      <c r="AF10" s="89">
        <v>5012.5</v>
      </c>
      <c r="AG10" s="96">
        <v>4200</v>
      </c>
      <c r="AH10" s="19">
        <v>5712.5</v>
      </c>
      <c r="AI10" s="89">
        <v>4300</v>
      </c>
      <c r="AJ10" s="96">
        <v>4050</v>
      </c>
      <c r="AK10" s="19">
        <v>5962.5</v>
      </c>
      <c r="AL10" s="89">
        <v>2437.5</v>
      </c>
      <c r="AM10" s="96">
        <v>6450</v>
      </c>
      <c r="AN10" s="19">
        <v>4200</v>
      </c>
      <c r="AO10" s="89">
        <v>4200</v>
      </c>
      <c r="AP10" s="96">
        <v>3150</v>
      </c>
      <c r="AQ10" s="19">
        <v>5250</v>
      </c>
      <c r="AR10" s="89">
        <v>2100</v>
      </c>
      <c r="AS10" s="96">
        <v>1050</v>
      </c>
      <c r="AT10" s="19">
        <v>6300</v>
      </c>
      <c r="AU10" s="89">
        <v>1050</v>
      </c>
      <c r="AV10" s="96">
        <v>2100</v>
      </c>
      <c r="AW10" s="19">
        <v>5250</v>
      </c>
      <c r="AX10" s="89">
        <v>4200</v>
      </c>
      <c r="AY10" s="96">
        <v>4200</v>
      </c>
      <c r="AZ10" s="19">
        <v>4200</v>
      </c>
      <c r="BA10" s="89">
        <v>4200</v>
      </c>
      <c r="BB10" s="96">
        <v>1050</v>
      </c>
      <c r="BC10" s="19">
        <v>6312.5</v>
      </c>
      <c r="BD10" s="89">
        <v>2100</v>
      </c>
      <c r="BE10" s="96">
        <v>3475</v>
      </c>
      <c r="BF10" s="19">
        <v>5262.5</v>
      </c>
      <c r="BG10" s="89">
        <v>4200</v>
      </c>
      <c r="BH10" s="96">
        <v>4200</v>
      </c>
      <c r="BI10" s="19">
        <v>5262.5</v>
      </c>
      <c r="BJ10" s="89">
        <v>8400</v>
      </c>
      <c r="BK10" s="96">
        <v>7350</v>
      </c>
      <c r="BL10" s="19">
        <v>6312.5</v>
      </c>
      <c r="BM10" s="89">
        <v>1050</v>
      </c>
      <c r="BN10" s="96">
        <v>2100</v>
      </c>
      <c r="BO10" s="19">
        <v>5262.5</v>
      </c>
      <c r="BP10" s="89">
        <v>8500</v>
      </c>
      <c r="BQ10" s="96" t="s">
        <v>136</v>
      </c>
      <c r="BR10" s="19"/>
      <c r="BS10" s="89">
        <v>8988</v>
      </c>
      <c r="BT10" s="100" t="s">
        <v>137</v>
      </c>
      <c r="BU10" s="19"/>
      <c r="BV10" s="89">
        <v>4200</v>
      </c>
      <c r="BW10" s="96" t="s">
        <v>140</v>
      </c>
      <c r="BX10" s="19"/>
    </row>
    <row r="11" spans="1:76" x14ac:dyDescent="0.45">
      <c r="A11" s="231"/>
      <c r="B11" s="240"/>
      <c r="C11" s="242"/>
      <c r="D11" s="66">
        <v>28825</v>
      </c>
      <c r="E11" s="15"/>
      <c r="F11" s="14">
        <v>28825</v>
      </c>
      <c r="G11" s="27" t="s">
        <v>111</v>
      </c>
      <c r="H11" s="16">
        <v>5250</v>
      </c>
      <c r="I11" s="18">
        <v>4375</v>
      </c>
      <c r="J11" s="19">
        <v>28500</v>
      </c>
      <c r="K11" s="16">
        <v>7250</v>
      </c>
      <c r="L11" s="18">
        <v>3150</v>
      </c>
      <c r="M11" s="19">
        <v>32600</v>
      </c>
      <c r="N11" s="16">
        <v>1050</v>
      </c>
      <c r="O11" s="18">
        <v>3675</v>
      </c>
      <c r="P11" s="19">
        <v>28175</v>
      </c>
      <c r="Q11" s="16">
        <v>1050</v>
      </c>
      <c r="R11" s="18">
        <v>3450</v>
      </c>
      <c r="S11" s="19">
        <v>25650</v>
      </c>
      <c r="T11" s="16">
        <v>8400</v>
      </c>
      <c r="U11" s="18">
        <v>7587.5</v>
      </c>
      <c r="V11" s="19">
        <v>27812.5</v>
      </c>
      <c r="W11" s="89">
        <v>8400</v>
      </c>
      <c r="X11" s="96">
        <v>9025</v>
      </c>
      <c r="Y11" s="19">
        <v>26137.5</v>
      </c>
      <c r="Z11" s="89">
        <v>10500</v>
      </c>
      <c r="AA11" s="96">
        <v>6225</v>
      </c>
      <c r="AB11" s="19">
        <v>31462.5</v>
      </c>
      <c r="AC11" s="89">
        <v>15750</v>
      </c>
      <c r="AD11" s="96">
        <v>4487.5</v>
      </c>
      <c r="AE11" s="19">
        <v>40425</v>
      </c>
      <c r="AF11" s="89"/>
      <c r="AG11" s="96">
        <v>12150</v>
      </c>
      <c r="AH11" s="19">
        <v>27912.5</v>
      </c>
      <c r="AI11" s="89">
        <v>13325</v>
      </c>
      <c r="AJ11" s="96">
        <v>9512.5</v>
      </c>
      <c r="AK11" s="19">
        <v>31725</v>
      </c>
      <c r="AL11" s="89">
        <v>6300</v>
      </c>
      <c r="AM11" s="96">
        <v>10175</v>
      </c>
      <c r="AN11" s="19">
        <v>25600</v>
      </c>
      <c r="AO11" s="89">
        <v>11550</v>
      </c>
      <c r="AP11" s="96">
        <v>6837.5</v>
      </c>
      <c r="AQ11" s="19">
        <v>28825</v>
      </c>
      <c r="AR11" s="89">
        <v>6300</v>
      </c>
      <c r="AS11" s="96">
        <v>1850</v>
      </c>
      <c r="AT11" s="19">
        <v>33275</v>
      </c>
      <c r="AU11" s="89">
        <v>6300</v>
      </c>
      <c r="AV11" s="96">
        <v>6150</v>
      </c>
      <c r="AW11" s="19">
        <v>33112.5</v>
      </c>
      <c r="AX11" s="89">
        <v>4200</v>
      </c>
      <c r="AY11" s="96">
        <v>6750</v>
      </c>
      <c r="AZ11" s="19">
        <v>27287.5</v>
      </c>
      <c r="BA11" s="89">
        <v>3150</v>
      </c>
      <c r="BB11" s="96">
        <v>3862.5</v>
      </c>
      <c r="BC11" s="19">
        <v>27375</v>
      </c>
      <c r="BD11" s="89">
        <v>6300</v>
      </c>
      <c r="BE11" s="96">
        <v>3150</v>
      </c>
      <c r="BF11" s="19">
        <v>29887.5</v>
      </c>
      <c r="BG11" s="89">
        <v>4200</v>
      </c>
      <c r="BH11" s="96">
        <v>3400</v>
      </c>
      <c r="BI11" s="19">
        <v>29637.5</v>
      </c>
      <c r="BJ11" s="89">
        <v>2100</v>
      </c>
      <c r="BK11" s="96">
        <v>12062.5</v>
      </c>
      <c r="BL11" s="19">
        <v>19675</v>
      </c>
      <c r="BM11" s="89">
        <v>12600</v>
      </c>
      <c r="BN11" s="96">
        <v>11450</v>
      </c>
      <c r="BO11" s="19">
        <v>20825</v>
      </c>
      <c r="BP11" s="89">
        <v>10500</v>
      </c>
      <c r="BQ11" s="96" t="s">
        <v>136</v>
      </c>
      <c r="BR11" s="19"/>
      <c r="BS11" s="89">
        <v>31500</v>
      </c>
      <c r="BT11" s="100" t="s">
        <v>137</v>
      </c>
      <c r="BU11" s="19"/>
      <c r="BV11" s="89">
        <v>16800</v>
      </c>
      <c r="BW11" s="96" t="s">
        <v>141</v>
      </c>
      <c r="BX11" s="19"/>
    </row>
    <row r="12" spans="1:76" x14ac:dyDescent="0.45">
      <c r="A12" s="238">
        <v>6</v>
      </c>
      <c r="B12" s="245" t="s">
        <v>65</v>
      </c>
      <c r="C12" s="246" t="s">
        <v>74</v>
      </c>
      <c r="D12" s="66">
        <v>675</v>
      </c>
      <c r="E12" s="15"/>
      <c r="F12" s="14">
        <v>675</v>
      </c>
      <c r="G12" s="27" t="s">
        <v>57</v>
      </c>
      <c r="H12" s="247">
        <v>612.5</v>
      </c>
      <c r="I12" s="18"/>
      <c r="J12" s="248">
        <v>1037.5</v>
      </c>
      <c r="K12" s="247">
        <v>337.5</v>
      </c>
      <c r="L12" s="18"/>
      <c r="M12" s="248">
        <v>625</v>
      </c>
      <c r="N12" s="247"/>
      <c r="O12" s="18"/>
      <c r="P12" s="248">
        <v>625</v>
      </c>
      <c r="Q12" s="247"/>
      <c r="R12" s="18"/>
      <c r="S12" s="248">
        <v>125</v>
      </c>
      <c r="T12" s="247">
        <v>1050</v>
      </c>
      <c r="U12" s="18"/>
      <c r="V12" s="248">
        <v>1175</v>
      </c>
      <c r="W12" s="249"/>
      <c r="X12" s="96"/>
      <c r="Y12" s="248">
        <v>925</v>
      </c>
      <c r="Z12" s="249"/>
      <c r="AA12" s="96"/>
      <c r="AB12" s="248">
        <v>925</v>
      </c>
      <c r="AC12" s="249"/>
      <c r="AD12" s="96">
        <v>250</v>
      </c>
      <c r="AE12" s="248">
        <v>675</v>
      </c>
      <c r="AF12" s="249"/>
      <c r="AG12" s="96"/>
      <c r="AH12" s="248"/>
      <c r="AI12" s="249"/>
      <c r="AJ12" s="96"/>
      <c r="AK12" s="248"/>
      <c r="AL12" s="249">
        <v>1050</v>
      </c>
      <c r="AM12" s="96"/>
      <c r="AN12" s="248">
        <v>725</v>
      </c>
      <c r="AO12" s="249"/>
      <c r="AP12" s="96"/>
      <c r="AQ12" s="248">
        <v>725</v>
      </c>
      <c r="AR12" s="249"/>
      <c r="AS12" s="96"/>
      <c r="AT12" s="248">
        <v>725</v>
      </c>
      <c r="AU12" s="249"/>
      <c r="AV12" s="96"/>
      <c r="AW12" s="248">
        <v>475</v>
      </c>
      <c r="AX12" s="249">
        <v>1050</v>
      </c>
      <c r="AY12" s="96"/>
      <c r="AZ12" s="248">
        <v>1275</v>
      </c>
      <c r="BA12" s="249"/>
      <c r="BB12" s="96"/>
      <c r="BC12" s="248">
        <v>1275</v>
      </c>
      <c r="BD12" s="249"/>
      <c r="BE12" s="96"/>
      <c r="BF12" s="248">
        <v>1025</v>
      </c>
      <c r="BG12" s="249"/>
      <c r="BH12" s="96"/>
      <c r="BI12" s="248">
        <v>1025</v>
      </c>
      <c r="BJ12" s="249"/>
      <c r="BK12" s="96"/>
      <c r="BL12" s="248">
        <v>1025</v>
      </c>
      <c r="BM12" s="249"/>
      <c r="BN12" s="96"/>
      <c r="BO12" s="248">
        <v>525</v>
      </c>
      <c r="BP12" s="249"/>
      <c r="BQ12" s="96"/>
      <c r="BR12" s="248"/>
      <c r="BS12" s="249"/>
      <c r="BT12" s="96"/>
      <c r="BU12" s="248"/>
      <c r="BV12" s="249">
        <v>500</v>
      </c>
      <c r="BW12" s="96"/>
      <c r="BX12" s="248"/>
    </row>
    <row r="13" spans="1:76" x14ac:dyDescent="0.45">
      <c r="A13" s="231"/>
      <c r="B13" s="233"/>
      <c r="C13" s="235"/>
      <c r="D13" s="66"/>
      <c r="E13" s="15"/>
      <c r="F13" s="14"/>
      <c r="G13" s="27" t="s">
        <v>58</v>
      </c>
      <c r="H13" s="237"/>
      <c r="I13" s="18">
        <v>250</v>
      </c>
      <c r="J13" s="229"/>
      <c r="K13" s="237"/>
      <c r="L13" s="18">
        <v>750</v>
      </c>
      <c r="M13" s="229"/>
      <c r="N13" s="237"/>
      <c r="O13" s="18"/>
      <c r="P13" s="229"/>
      <c r="Q13" s="237"/>
      <c r="R13" s="18">
        <v>500</v>
      </c>
      <c r="S13" s="229"/>
      <c r="T13" s="237"/>
      <c r="U13" s="18"/>
      <c r="V13" s="229"/>
      <c r="W13" s="244"/>
      <c r="X13" s="96">
        <v>250</v>
      </c>
      <c r="Y13" s="229"/>
      <c r="Z13" s="244"/>
      <c r="AA13" s="96"/>
      <c r="AB13" s="229"/>
      <c r="AC13" s="244"/>
      <c r="AD13" s="96"/>
      <c r="AE13" s="229"/>
      <c r="AF13" s="244"/>
      <c r="AG13" s="96">
        <v>675</v>
      </c>
      <c r="AH13" s="229"/>
      <c r="AI13" s="244"/>
      <c r="AJ13" s="96"/>
      <c r="AK13" s="229"/>
      <c r="AL13" s="244"/>
      <c r="AM13" s="96">
        <v>325</v>
      </c>
      <c r="AN13" s="229"/>
      <c r="AO13" s="244"/>
      <c r="AP13" s="96"/>
      <c r="AQ13" s="229"/>
      <c r="AR13" s="244"/>
      <c r="AS13" s="96"/>
      <c r="AT13" s="229"/>
      <c r="AU13" s="244"/>
      <c r="AV13" s="96">
        <v>250</v>
      </c>
      <c r="AW13" s="229"/>
      <c r="AX13" s="244"/>
      <c r="AY13" s="96">
        <v>250</v>
      </c>
      <c r="AZ13" s="229"/>
      <c r="BA13" s="244"/>
      <c r="BB13" s="96"/>
      <c r="BC13" s="229"/>
      <c r="BD13" s="244"/>
      <c r="BE13" s="96">
        <v>250</v>
      </c>
      <c r="BF13" s="229"/>
      <c r="BG13" s="244"/>
      <c r="BH13" s="96"/>
      <c r="BI13" s="229"/>
      <c r="BJ13" s="244"/>
      <c r="BK13" s="96"/>
      <c r="BL13" s="229"/>
      <c r="BM13" s="244"/>
      <c r="BN13" s="96">
        <v>500</v>
      </c>
      <c r="BO13" s="229"/>
      <c r="BP13" s="244"/>
      <c r="BQ13" s="96"/>
      <c r="BR13" s="229"/>
      <c r="BS13" s="244"/>
      <c r="BT13" s="96"/>
      <c r="BU13" s="229"/>
      <c r="BV13" s="244"/>
      <c r="BW13" s="96"/>
      <c r="BX13" s="229"/>
    </row>
    <row r="14" spans="1:76" x14ac:dyDescent="0.45">
      <c r="A14" s="82">
        <v>7</v>
      </c>
      <c r="B14" s="61" t="s">
        <v>65</v>
      </c>
      <c r="C14" s="71" t="s">
        <v>75</v>
      </c>
      <c r="D14" s="66">
        <v>15060</v>
      </c>
      <c r="E14" s="15"/>
      <c r="F14" s="14">
        <v>15060</v>
      </c>
      <c r="G14" s="27" t="s">
        <v>59</v>
      </c>
      <c r="H14" s="16">
        <v>6300</v>
      </c>
      <c r="I14" s="18">
        <v>3780</v>
      </c>
      <c r="J14" s="19">
        <v>15600</v>
      </c>
      <c r="K14" s="16"/>
      <c r="L14" s="18">
        <v>3780</v>
      </c>
      <c r="M14" s="19">
        <v>7920</v>
      </c>
      <c r="N14" s="16">
        <v>7560</v>
      </c>
      <c r="O14" s="18">
        <v>5040</v>
      </c>
      <c r="P14" s="19">
        <v>7920</v>
      </c>
      <c r="Q14" s="16">
        <v>10080</v>
      </c>
      <c r="R14" s="18">
        <v>3780</v>
      </c>
      <c r="S14" s="19">
        <v>12030</v>
      </c>
      <c r="T14" s="16">
        <v>3780</v>
      </c>
      <c r="U14" s="18">
        <v>7890</v>
      </c>
      <c r="V14" s="19">
        <v>7920</v>
      </c>
      <c r="W14" s="89">
        <v>11340</v>
      </c>
      <c r="X14" s="96">
        <v>3780</v>
      </c>
      <c r="Y14" s="19">
        <v>10800</v>
      </c>
      <c r="Z14" s="89">
        <v>6480</v>
      </c>
      <c r="AA14" s="96">
        <v>7560</v>
      </c>
      <c r="AB14" s="19">
        <v>9720</v>
      </c>
      <c r="AC14" s="89">
        <v>8820</v>
      </c>
      <c r="AD14" s="96">
        <v>6300</v>
      </c>
      <c r="AE14" s="19">
        <v>10080</v>
      </c>
      <c r="AF14" s="89">
        <v>10080</v>
      </c>
      <c r="AG14" s="96">
        <v>9120</v>
      </c>
      <c r="AH14" s="19">
        <v>11040</v>
      </c>
      <c r="AI14" s="89">
        <v>5040</v>
      </c>
      <c r="AJ14" s="96">
        <v>5970</v>
      </c>
      <c r="AK14" s="19">
        <v>10080</v>
      </c>
      <c r="AL14" s="89">
        <v>6300</v>
      </c>
      <c r="AM14" s="96">
        <v>6300</v>
      </c>
      <c r="AN14" s="19">
        <v>7560</v>
      </c>
      <c r="AO14" s="89">
        <v>8820</v>
      </c>
      <c r="AP14" s="96">
        <v>5040</v>
      </c>
      <c r="AQ14" s="19">
        <v>9180</v>
      </c>
      <c r="AR14" s="89">
        <v>6300</v>
      </c>
      <c r="AS14" s="96">
        <v>5040</v>
      </c>
      <c r="AT14" s="19">
        <v>7950</v>
      </c>
      <c r="AU14" s="89">
        <v>8820</v>
      </c>
      <c r="AV14" s="96">
        <v>3780</v>
      </c>
      <c r="AW14" s="19">
        <v>9360</v>
      </c>
      <c r="AX14" s="89">
        <v>5040</v>
      </c>
      <c r="AY14" s="96">
        <v>5040</v>
      </c>
      <c r="AZ14" s="19">
        <v>6480</v>
      </c>
      <c r="BA14" s="89">
        <v>8820</v>
      </c>
      <c r="BB14" s="96">
        <v>2520</v>
      </c>
      <c r="BC14" s="19">
        <v>8775</v>
      </c>
      <c r="BD14" s="89">
        <v>7560</v>
      </c>
      <c r="BE14" s="96">
        <v>3780</v>
      </c>
      <c r="BF14" s="19">
        <v>9315</v>
      </c>
      <c r="BG14" s="89">
        <v>5040</v>
      </c>
      <c r="BH14" s="96">
        <v>3780</v>
      </c>
      <c r="BI14" s="19">
        <v>6750</v>
      </c>
      <c r="BJ14" s="89">
        <v>7560</v>
      </c>
      <c r="BK14" s="96">
        <v>2750</v>
      </c>
      <c r="BL14" s="19">
        <v>11520</v>
      </c>
      <c r="BM14" s="89">
        <v>3780</v>
      </c>
      <c r="BN14" s="96"/>
      <c r="BO14" s="19">
        <v>6840</v>
      </c>
      <c r="BP14" s="89">
        <v>15120</v>
      </c>
      <c r="BQ14" s="96"/>
      <c r="BR14" s="19"/>
      <c r="BS14" s="89">
        <v>5040</v>
      </c>
      <c r="BT14" s="96"/>
      <c r="BU14" s="19"/>
      <c r="BV14" s="89">
        <v>6300</v>
      </c>
      <c r="BW14" s="96"/>
      <c r="BX14" s="19"/>
    </row>
    <row r="15" spans="1:76" x14ac:dyDescent="0.45">
      <c r="A15" s="82">
        <v>8</v>
      </c>
      <c r="B15" s="61" t="s">
        <v>65</v>
      </c>
      <c r="C15" s="71" t="s">
        <v>76</v>
      </c>
      <c r="D15" s="66">
        <v>2500</v>
      </c>
      <c r="E15" s="15"/>
      <c r="F15" s="14">
        <v>2500</v>
      </c>
      <c r="G15" s="27"/>
      <c r="H15" s="16">
        <v>1000</v>
      </c>
      <c r="I15" s="18"/>
      <c r="J15" s="19">
        <v>3500</v>
      </c>
      <c r="K15" s="16">
        <v>3500</v>
      </c>
      <c r="L15" s="18">
        <v>3000</v>
      </c>
      <c r="M15" s="19">
        <v>3500</v>
      </c>
      <c r="N15" s="16">
        <v>2500</v>
      </c>
      <c r="O15" s="18">
        <v>1500</v>
      </c>
      <c r="P15" s="19">
        <v>4500</v>
      </c>
      <c r="Q15" s="16">
        <v>2000</v>
      </c>
      <c r="R15" s="18">
        <v>2500</v>
      </c>
      <c r="S15" s="19">
        <v>4000</v>
      </c>
      <c r="T15" s="16">
        <v>1500</v>
      </c>
      <c r="U15" s="18">
        <v>1500</v>
      </c>
      <c r="V15" s="19">
        <v>4000</v>
      </c>
      <c r="W15" s="89">
        <v>3500</v>
      </c>
      <c r="X15" s="96">
        <v>1500</v>
      </c>
      <c r="Y15" s="19">
        <v>5000</v>
      </c>
      <c r="Z15" s="89">
        <v>4000</v>
      </c>
      <c r="AA15" s="96">
        <v>1000</v>
      </c>
      <c r="AB15" s="19">
        <v>8000</v>
      </c>
      <c r="AC15" s="89"/>
      <c r="AD15" s="96">
        <v>2000</v>
      </c>
      <c r="AE15" s="19">
        <v>6000</v>
      </c>
      <c r="AF15" s="89">
        <v>2000</v>
      </c>
      <c r="AG15" s="96">
        <v>2000</v>
      </c>
      <c r="AH15" s="19">
        <v>6000</v>
      </c>
      <c r="AI15" s="89">
        <v>1000</v>
      </c>
      <c r="AJ15" s="96">
        <v>2000</v>
      </c>
      <c r="AK15" s="19">
        <v>5000</v>
      </c>
      <c r="AL15" s="89"/>
      <c r="AM15" s="96">
        <v>1000</v>
      </c>
      <c r="AN15" s="19">
        <v>4000</v>
      </c>
      <c r="AO15" s="89"/>
      <c r="AP15" s="96">
        <v>3000</v>
      </c>
      <c r="AQ15" s="19">
        <v>500</v>
      </c>
      <c r="AR15" s="89">
        <v>2000</v>
      </c>
      <c r="AS15" s="96">
        <v>1000</v>
      </c>
      <c r="AT15" s="19">
        <v>1500</v>
      </c>
      <c r="AU15" s="89">
        <v>4000</v>
      </c>
      <c r="AV15" s="96">
        <v>2000</v>
      </c>
      <c r="AW15" s="19">
        <v>3000</v>
      </c>
      <c r="AX15" s="89">
        <v>4000</v>
      </c>
      <c r="AY15" s="96">
        <v>2000</v>
      </c>
      <c r="AZ15" s="19">
        <v>4500</v>
      </c>
      <c r="BA15" s="89">
        <v>2000</v>
      </c>
      <c r="BB15" s="96">
        <v>2500</v>
      </c>
      <c r="BC15" s="19">
        <v>4000</v>
      </c>
      <c r="BD15" s="89">
        <v>3000</v>
      </c>
      <c r="BE15" s="96">
        <v>500</v>
      </c>
      <c r="BF15" s="19">
        <v>5500</v>
      </c>
      <c r="BG15" s="89">
        <v>1000</v>
      </c>
      <c r="BH15" s="96">
        <v>1500</v>
      </c>
      <c r="BI15" s="19">
        <v>5000</v>
      </c>
      <c r="BJ15" s="89"/>
      <c r="BK15" s="96">
        <v>2500</v>
      </c>
      <c r="BL15" s="19">
        <v>2500</v>
      </c>
      <c r="BM15" s="89">
        <v>1500</v>
      </c>
      <c r="BN15" s="96">
        <v>2000</v>
      </c>
      <c r="BO15" s="19">
        <v>2000</v>
      </c>
      <c r="BP15" s="89">
        <v>1000</v>
      </c>
      <c r="BQ15" s="96"/>
      <c r="BR15" s="19"/>
      <c r="BS15" s="89">
        <v>2500</v>
      </c>
      <c r="BT15" s="96"/>
      <c r="BU15" s="19"/>
      <c r="BV15" s="89">
        <v>2000</v>
      </c>
      <c r="BW15" s="96"/>
      <c r="BX15" s="19"/>
    </row>
    <row r="16" spans="1:76" hidden="1" x14ac:dyDescent="0.45">
      <c r="A16" s="82">
        <v>10</v>
      </c>
      <c r="B16" s="61" t="s">
        <v>65</v>
      </c>
      <c r="C16" s="71" t="s">
        <v>77</v>
      </c>
      <c r="D16" s="66"/>
      <c r="E16" s="15"/>
      <c r="F16" s="14"/>
      <c r="G16" s="27"/>
      <c r="H16" s="16">
        <v>400</v>
      </c>
      <c r="I16" s="18"/>
      <c r="J16" s="19">
        <v>200</v>
      </c>
      <c r="K16" s="16"/>
      <c r="L16" s="18"/>
      <c r="M16" s="19">
        <v>200</v>
      </c>
      <c r="N16" s="16"/>
      <c r="O16" s="18">
        <v>200</v>
      </c>
      <c r="P16" s="19"/>
      <c r="Q16" s="16">
        <v>600</v>
      </c>
      <c r="R16" s="18">
        <v>200</v>
      </c>
      <c r="S16" s="19">
        <v>400</v>
      </c>
      <c r="T16" s="16"/>
      <c r="U16" s="18"/>
      <c r="V16" s="19"/>
      <c r="W16" s="89"/>
      <c r="X16" s="96">
        <v>200</v>
      </c>
      <c r="Y16" s="19">
        <v>200</v>
      </c>
      <c r="Z16" s="89"/>
      <c r="AA16" s="96"/>
      <c r="AB16" s="19"/>
      <c r="AC16" s="89"/>
      <c r="AD16" s="96"/>
      <c r="AE16" s="19"/>
      <c r="AF16" s="89"/>
      <c r="AG16" s="96"/>
      <c r="AH16" s="19"/>
      <c r="AI16" s="89"/>
      <c r="AJ16" s="96"/>
      <c r="AK16" s="19"/>
      <c r="AL16" s="89"/>
      <c r="AM16" s="96"/>
      <c r="AN16" s="19"/>
      <c r="AO16" s="89"/>
      <c r="AP16" s="96"/>
      <c r="AQ16" s="19"/>
      <c r="AR16" s="89"/>
      <c r="AS16" s="96"/>
      <c r="AT16" s="19"/>
      <c r="AU16" s="89"/>
      <c r="AV16" s="96"/>
      <c r="AW16" s="19"/>
      <c r="AX16" s="89"/>
      <c r="AY16" s="96"/>
      <c r="AZ16" s="19"/>
      <c r="BA16" s="89"/>
      <c r="BB16" s="96"/>
      <c r="BC16" s="19"/>
      <c r="BD16" s="89"/>
      <c r="BE16" s="96"/>
      <c r="BF16" s="19"/>
      <c r="BG16" s="89"/>
      <c r="BH16" s="96"/>
      <c r="BI16" s="19"/>
      <c r="BJ16" s="89"/>
      <c r="BK16" s="96"/>
      <c r="BL16" s="19"/>
      <c r="BM16" s="89"/>
      <c r="BN16" s="96"/>
      <c r="BO16" s="19"/>
      <c r="BP16" s="89"/>
      <c r="BQ16" s="96"/>
      <c r="BR16" s="19"/>
      <c r="BS16" s="89"/>
      <c r="BT16" s="96"/>
      <c r="BU16" s="19"/>
      <c r="BV16" s="89"/>
      <c r="BW16" s="96"/>
      <c r="BX16" s="19"/>
    </row>
    <row r="17" spans="1:76" hidden="1" x14ac:dyDescent="0.45">
      <c r="A17" s="82"/>
      <c r="B17" s="61" t="s">
        <v>65</v>
      </c>
      <c r="C17" s="71" t="s">
        <v>78</v>
      </c>
      <c r="D17" s="66">
        <v>3060</v>
      </c>
      <c r="E17" s="15"/>
      <c r="F17" s="14">
        <v>3060</v>
      </c>
      <c r="G17" s="27"/>
      <c r="H17" s="16"/>
      <c r="I17" s="18">
        <v>1800</v>
      </c>
      <c r="J17" s="19">
        <v>1260</v>
      </c>
      <c r="K17" s="17"/>
      <c r="L17" s="18">
        <v>1260</v>
      </c>
      <c r="M17" s="23"/>
      <c r="N17" s="17"/>
      <c r="O17" s="24"/>
      <c r="P17" s="23"/>
      <c r="Q17" s="17"/>
      <c r="R17" s="24"/>
      <c r="S17" s="23"/>
      <c r="T17" s="17"/>
      <c r="U17" s="24"/>
      <c r="V17" s="23"/>
      <c r="W17" s="92"/>
      <c r="X17" s="99"/>
      <c r="Y17" s="23"/>
      <c r="Z17" s="92"/>
      <c r="AA17" s="99"/>
      <c r="AB17" s="23"/>
      <c r="AC17" s="92"/>
      <c r="AD17" s="99"/>
      <c r="AE17" s="23"/>
      <c r="AF17" s="92"/>
      <c r="AG17" s="99"/>
      <c r="AH17" s="23"/>
      <c r="AI17" s="92"/>
      <c r="AJ17" s="99"/>
      <c r="AK17" s="23"/>
      <c r="AL17" s="92"/>
      <c r="AM17" s="99"/>
      <c r="AN17" s="23"/>
      <c r="AO17" s="92"/>
      <c r="AP17" s="99"/>
      <c r="AQ17" s="23"/>
      <c r="AR17" s="92"/>
      <c r="AS17" s="99"/>
      <c r="AT17" s="23"/>
      <c r="AU17" s="92"/>
      <c r="AV17" s="99"/>
      <c r="AW17" s="23"/>
      <c r="AX17" s="92"/>
      <c r="AY17" s="99"/>
      <c r="AZ17" s="23"/>
      <c r="BA17" s="92"/>
      <c r="BB17" s="99"/>
      <c r="BC17" s="23"/>
      <c r="BD17" s="92"/>
      <c r="BE17" s="99"/>
      <c r="BF17" s="23"/>
      <c r="BG17" s="92"/>
      <c r="BH17" s="99"/>
      <c r="BI17" s="23"/>
      <c r="BJ17" s="92"/>
      <c r="BK17" s="99"/>
      <c r="BL17" s="23"/>
      <c r="BM17" s="92"/>
      <c r="BN17" s="99"/>
      <c r="BO17" s="23"/>
      <c r="BP17" s="92"/>
      <c r="BQ17" s="99"/>
      <c r="BR17" s="23"/>
      <c r="BS17" s="92"/>
      <c r="BT17" s="99"/>
      <c r="BU17" s="23"/>
      <c r="BV17" s="92"/>
      <c r="BW17" s="99"/>
      <c r="BX17" s="23"/>
    </row>
    <row r="18" spans="1:76" hidden="1" x14ac:dyDescent="0.45">
      <c r="A18" s="82"/>
      <c r="B18" s="245" t="s">
        <v>65</v>
      </c>
      <c r="C18" s="246" t="s">
        <v>79</v>
      </c>
      <c r="D18" s="66">
        <v>30240</v>
      </c>
      <c r="E18" s="15"/>
      <c r="F18" s="14">
        <v>27720</v>
      </c>
      <c r="G18" s="27" t="s">
        <v>57</v>
      </c>
      <c r="H18" s="247">
        <v>56700</v>
      </c>
      <c r="I18" s="18">
        <v>32550</v>
      </c>
      <c r="J18" s="248">
        <v>46740</v>
      </c>
      <c r="K18" s="247">
        <v>56700</v>
      </c>
      <c r="L18" s="18">
        <v>32430</v>
      </c>
      <c r="M18" s="248">
        <v>61740</v>
      </c>
      <c r="N18" s="254"/>
      <c r="O18" s="18">
        <v>53730</v>
      </c>
      <c r="P18" s="252"/>
      <c r="Q18" s="254"/>
      <c r="R18" s="250"/>
      <c r="S18" s="252"/>
      <c r="T18" s="254"/>
      <c r="U18" s="250"/>
      <c r="V18" s="252"/>
      <c r="W18" s="256"/>
      <c r="X18" s="258"/>
      <c r="Y18" s="252"/>
      <c r="Z18" s="256"/>
      <c r="AA18" s="258"/>
      <c r="AB18" s="252"/>
      <c r="AC18" s="256"/>
      <c r="AD18" s="258"/>
      <c r="AE18" s="252"/>
      <c r="AF18" s="256"/>
      <c r="AG18" s="258"/>
      <c r="AH18" s="252"/>
      <c r="AI18" s="256"/>
      <c r="AJ18" s="258"/>
      <c r="AK18" s="252"/>
      <c r="AL18" s="256"/>
      <c r="AM18" s="258"/>
      <c r="AN18" s="252"/>
      <c r="AO18" s="256"/>
      <c r="AP18" s="258"/>
      <c r="AQ18" s="252"/>
      <c r="AR18" s="256"/>
      <c r="AS18" s="258"/>
      <c r="AT18" s="252"/>
      <c r="AU18" s="256"/>
      <c r="AV18" s="258"/>
      <c r="AW18" s="252"/>
      <c r="AX18" s="256"/>
      <c r="AY18" s="258"/>
      <c r="AZ18" s="252"/>
      <c r="BA18" s="256"/>
      <c r="BB18" s="258"/>
      <c r="BC18" s="252"/>
      <c r="BD18" s="256"/>
      <c r="BE18" s="258"/>
      <c r="BF18" s="252"/>
      <c r="BG18" s="256"/>
      <c r="BH18" s="258"/>
      <c r="BI18" s="252"/>
      <c r="BJ18" s="256"/>
      <c r="BK18" s="258"/>
      <c r="BL18" s="252"/>
      <c r="BM18" s="256"/>
      <c r="BN18" s="258"/>
      <c r="BO18" s="252"/>
      <c r="BP18" s="256"/>
      <c r="BQ18" s="258"/>
      <c r="BR18" s="252"/>
      <c r="BS18" s="256"/>
      <c r="BT18" s="258"/>
      <c r="BU18" s="252"/>
      <c r="BV18" s="256"/>
      <c r="BW18" s="258"/>
      <c r="BX18" s="252"/>
    </row>
    <row r="19" spans="1:76" hidden="1" x14ac:dyDescent="0.45">
      <c r="A19" s="82"/>
      <c r="B19" s="233"/>
      <c r="C19" s="235"/>
      <c r="D19" s="66"/>
      <c r="E19" s="15"/>
      <c r="F19" s="14"/>
      <c r="G19" s="27" t="s">
        <v>58</v>
      </c>
      <c r="H19" s="237"/>
      <c r="I19" s="18">
        <v>4230</v>
      </c>
      <c r="J19" s="229"/>
      <c r="K19" s="237"/>
      <c r="L19" s="18">
        <v>9270</v>
      </c>
      <c r="M19" s="229"/>
      <c r="N19" s="255"/>
      <c r="O19" s="18">
        <v>8010</v>
      </c>
      <c r="P19" s="253"/>
      <c r="Q19" s="255"/>
      <c r="R19" s="251"/>
      <c r="S19" s="253"/>
      <c r="T19" s="255"/>
      <c r="U19" s="251"/>
      <c r="V19" s="253"/>
      <c r="W19" s="257"/>
      <c r="X19" s="259"/>
      <c r="Y19" s="253"/>
      <c r="Z19" s="257"/>
      <c r="AA19" s="259"/>
      <c r="AB19" s="253"/>
      <c r="AC19" s="257"/>
      <c r="AD19" s="259"/>
      <c r="AE19" s="253"/>
      <c r="AF19" s="257"/>
      <c r="AG19" s="259"/>
      <c r="AH19" s="253"/>
      <c r="AI19" s="257"/>
      <c r="AJ19" s="259"/>
      <c r="AK19" s="253"/>
      <c r="AL19" s="257"/>
      <c r="AM19" s="259"/>
      <c r="AN19" s="253"/>
      <c r="AO19" s="257"/>
      <c r="AP19" s="259"/>
      <c r="AQ19" s="253"/>
      <c r="AR19" s="257"/>
      <c r="AS19" s="259"/>
      <c r="AT19" s="253"/>
      <c r="AU19" s="257"/>
      <c r="AV19" s="259"/>
      <c r="AW19" s="253"/>
      <c r="AX19" s="257"/>
      <c r="AY19" s="259"/>
      <c r="AZ19" s="253"/>
      <c r="BA19" s="257"/>
      <c r="BB19" s="259"/>
      <c r="BC19" s="253"/>
      <c r="BD19" s="257"/>
      <c r="BE19" s="259"/>
      <c r="BF19" s="253"/>
      <c r="BG19" s="257"/>
      <c r="BH19" s="259"/>
      <c r="BI19" s="253"/>
      <c r="BJ19" s="257"/>
      <c r="BK19" s="259"/>
      <c r="BL19" s="253"/>
      <c r="BM19" s="257"/>
      <c r="BN19" s="259"/>
      <c r="BO19" s="253"/>
      <c r="BP19" s="257"/>
      <c r="BQ19" s="259"/>
      <c r="BR19" s="253"/>
      <c r="BS19" s="257"/>
      <c r="BT19" s="259"/>
      <c r="BU19" s="253"/>
      <c r="BV19" s="257"/>
      <c r="BW19" s="259"/>
      <c r="BX19" s="253"/>
    </row>
    <row r="20" spans="1:76" x14ac:dyDescent="0.45">
      <c r="A20" s="238">
        <v>9</v>
      </c>
      <c r="B20" s="245" t="s">
        <v>65</v>
      </c>
      <c r="C20" s="246" t="s">
        <v>80</v>
      </c>
      <c r="D20" s="66"/>
      <c r="E20" s="15"/>
      <c r="F20" s="14"/>
      <c r="G20" s="27" t="s">
        <v>57</v>
      </c>
      <c r="H20" s="254"/>
      <c r="I20" s="250"/>
      <c r="J20" s="252"/>
      <c r="K20" s="254"/>
      <c r="L20" s="250"/>
      <c r="M20" s="252"/>
      <c r="N20" s="247">
        <v>56700</v>
      </c>
      <c r="O20" s="18">
        <v>3240</v>
      </c>
      <c r="P20" s="248">
        <v>53460</v>
      </c>
      <c r="Q20" s="247">
        <v>56700</v>
      </c>
      <c r="R20" s="18">
        <v>52950</v>
      </c>
      <c r="S20" s="248">
        <v>46170</v>
      </c>
      <c r="T20" s="247">
        <v>56700</v>
      </c>
      <c r="U20" s="18">
        <v>57510</v>
      </c>
      <c r="V20" s="248">
        <v>37350</v>
      </c>
      <c r="W20" s="249">
        <v>56700</v>
      </c>
      <c r="X20" s="96">
        <v>56760</v>
      </c>
      <c r="Y20" s="248">
        <v>34320</v>
      </c>
      <c r="Z20" s="249">
        <v>56700</v>
      </c>
      <c r="AA20" s="96">
        <v>48990</v>
      </c>
      <c r="AB20" s="248">
        <v>36540</v>
      </c>
      <c r="AC20" s="249">
        <v>56700</v>
      </c>
      <c r="AD20" s="96">
        <v>46170</v>
      </c>
      <c r="AE20" s="248">
        <v>40320</v>
      </c>
      <c r="AF20" s="249">
        <v>56700</v>
      </c>
      <c r="AG20" s="96">
        <v>49050</v>
      </c>
      <c r="AH20" s="248">
        <v>35370</v>
      </c>
      <c r="AI20" s="249">
        <v>56700</v>
      </c>
      <c r="AJ20" s="96">
        <v>63870</v>
      </c>
      <c r="AK20" s="248">
        <v>16110</v>
      </c>
      <c r="AL20" s="249">
        <v>56700</v>
      </c>
      <c r="AM20" s="96">
        <v>39780</v>
      </c>
      <c r="AN20" s="248">
        <v>24570</v>
      </c>
      <c r="AO20" s="249">
        <v>56700</v>
      </c>
      <c r="AP20" s="96">
        <v>50940</v>
      </c>
      <c r="AQ20" s="248">
        <v>21060</v>
      </c>
      <c r="AR20" s="249">
        <v>80640</v>
      </c>
      <c r="AS20" s="96">
        <v>45000</v>
      </c>
      <c r="AT20" s="248">
        <v>47880</v>
      </c>
      <c r="AU20" s="249">
        <v>60480</v>
      </c>
      <c r="AV20" s="96">
        <v>49950</v>
      </c>
      <c r="AW20" s="248">
        <v>48690</v>
      </c>
      <c r="AX20" s="249">
        <v>60480</v>
      </c>
      <c r="AY20" s="96">
        <v>72630</v>
      </c>
      <c r="AZ20" s="248">
        <v>24300</v>
      </c>
      <c r="BA20" s="249">
        <v>60480</v>
      </c>
      <c r="BB20" s="96">
        <v>60120</v>
      </c>
      <c r="BC20" s="248">
        <v>15390</v>
      </c>
      <c r="BD20" s="249">
        <v>100800</v>
      </c>
      <c r="BE20" s="96">
        <v>57600</v>
      </c>
      <c r="BF20" s="248">
        <v>49320</v>
      </c>
      <c r="BG20" s="249">
        <v>40320</v>
      </c>
      <c r="BH20" s="96">
        <v>53460</v>
      </c>
      <c r="BI20" s="248">
        <v>25200</v>
      </c>
      <c r="BJ20" s="249">
        <v>100800</v>
      </c>
      <c r="BK20" s="96">
        <v>57510</v>
      </c>
      <c r="BL20" s="248">
        <v>61740</v>
      </c>
      <c r="BM20" s="249">
        <v>20160</v>
      </c>
      <c r="BN20" s="96">
        <v>46170</v>
      </c>
      <c r="BO20" s="248">
        <v>22680</v>
      </c>
      <c r="BP20" s="249">
        <v>80640</v>
      </c>
      <c r="BQ20" s="96"/>
      <c r="BR20" s="248"/>
      <c r="BS20" s="249">
        <v>60480</v>
      </c>
      <c r="BT20" s="96"/>
      <c r="BU20" s="248"/>
      <c r="BV20" s="249">
        <v>60480</v>
      </c>
      <c r="BW20" s="96"/>
      <c r="BX20" s="248"/>
    </row>
    <row r="21" spans="1:76" x14ac:dyDescent="0.45">
      <c r="A21" s="231"/>
      <c r="B21" s="233"/>
      <c r="C21" s="235"/>
      <c r="D21" s="66"/>
      <c r="E21" s="15"/>
      <c r="F21" s="14"/>
      <c r="G21" s="27" t="s">
        <v>58</v>
      </c>
      <c r="H21" s="255"/>
      <c r="I21" s="251"/>
      <c r="J21" s="253"/>
      <c r="K21" s="255"/>
      <c r="L21" s="251"/>
      <c r="M21" s="253"/>
      <c r="N21" s="237"/>
      <c r="O21" s="18"/>
      <c r="P21" s="229"/>
      <c r="Q21" s="237"/>
      <c r="R21" s="18">
        <v>9720</v>
      </c>
      <c r="S21" s="229"/>
      <c r="T21" s="237"/>
      <c r="U21" s="18">
        <v>8010</v>
      </c>
      <c r="V21" s="229"/>
      <c r="W21" s="244"/>
      <c r="X21" s="96">
        <v>5490</v>
      </c>
      <c r="Y21" s="229"/>
      <c r="Z21" s="244"/>
      <c r="AA21" s="96">
        <v>5490</v>
      </c>
      <c r="AB21" s="229"/>
      <c r="AC21" s="244"/>
      <c r="AD21" s="96">
        <v>8010</v>
      </c>
      <c r="AE21" s="229"/>
      <c r="AF21" s="244"/>
      <c r="AG21" s="96">
        <v>8460</v>
      </c>
      <c r="AH21" s="229"/>
      <c r="AI21" s="244"/>
      <c r="AJ21" s="96">
        <v>12090</v>
      </c>
      <c r="AK21" s="229"/>
      <c r="AL21" s="244"/>
      <c r="AM21" s="96">
        <v>8460</v>
      </c>
      <c r="AN21" s="229"/>
      <c r="AO21" s="244"/>
      <c r="AP21" s="96">
        <v>9270</v>
      </c>
      <c r="AQ21" s="229"/>
      <c r="AR21" s="244"/>
      <c r="AS21" s="96">
        <v>8820</v>
      </c>
      <c r="AT21" s="229"/>
      <c r="AU21" s="244"/>
      <c r="AV21" s="96">
        <v>9720</v>
      </c>
      <c r="AW21" s="229"/>
      <c r="AX21" s="244"/>
      <c r="AY21" s="96">
        <v>12240</v>
      </c>
      <c r="AZ21" s="229"/>
      <c r="BA21" s="244"/>
      <c r="BB21" s="96">
        <v>9270</v>
      </c>
      <c r="BC21" s="229"/>
      <c r="BD21" s="244"/>
      <c r="BE21" s="96">
        <v>8010</v>
      </c>
      <c r="BF21" s="229"/>
      <c r="BG21" s="244"/>
      <c r="BH21" s="96">
        <v>10980</v>
      </c>
      <c r="BI21" s="229"/>
      <c r="BJ21" s="244"/>
      <c r="BK21" s="96">
        <v>8010</v>
      </c>
      <c r="BL21" s="229"/>
      <c r="BM21" s="244"/>
      <c r="BN21" s="96">
        <v>10530</v>
      </c>
      <c r="BO21" s="229"/>
      <c r="BP21" s="244"/>
      <c r="BQ21" s="96"/>
      <c r="BR21" s="229"/>
      <c r="BS21" s="244"/>
      <c r="BT21" s="96"/>
      <c r="BU21" s="229"/>
      <c r="BV21" s="244"/>
      <c r="BW21" s="96"/>
      <c r="BX21" s="229"/>
    </row>
    <row r="22" spans="1:76" x14ac:dyDescent="0.45">
      <c r="A22" s="82">
        <v>10</v>
      </c>
      <c r="B22" s="61" t="s">
        <v>65</v>
      </c>
      <c r="C22" s="71" t="s">
        <v>81</v>
      </c>
      <c r="D22" s="66">
        <v>1980</v>
      </c>
      <c r="E22" s="15"/>
      <c r="F22" s="14">
        <v>1980</v>
      </c>
      <c r="G22" s="27"/>
      <c r="H22" s="16"/>
      <c r="I22" s="18">
        <v>180</v>
      </c>
      <c r="J22" s="19">
        <v>1800</v>
      </c>
      <c r="K22" s="16"/>
      <c r="L22" s="18">
        <v>540</v>
      </c>
      <c r="M22" s="19">
        <v>1250</v>
      </c>
      <c r="N22" s="16"/>
      <c r="O22" s="18">
        <v>180</v>
      </c>
      <c r="P22" s="19">
        <v>1080</v>
      </c>
      <c r="Q22" s="16"/>
      <c r="R22" s="18">
        <v>180</v>
      </c>
      <c r="S22" s="19">
        <v>900</v>
      </c>
      <c r="T22" s="16"/>
      <c r="U22" s="18">
        <v>360</v>
      </c>
      <c r="V22" s="19">
        <v>540</v>
      </c>
      <c r="W22" s="89">
        <v>1260</v>
      </c>
      <c r="X22" s="96">
        <v>360</v>
      </c>
      <c r="Y22" s="19">
        <v>1440</v>
      </c>
      <c r="Z22" s="89"/>
      <c r="AA22" s="96">
        <v>180</v>
      </c>
      <c r="AB22" s="19">
        <v>1260</v>
      </c>
      <c r="AC22" s="89"/>
      <c r="AD22" s="96"/>
      <c r="AE22" s="19">
        <v>1245</v>
      </c>
      <c r="AF22" s="89"/>
      <c r="AG22" s="96">
        <v>360</v>
      </c>
      <c r="AH22" s="19">
        <v>885</v>
      </c>
      <c r="AI22" s="89"/>
      <c r="AJ22" s="96"/>
      <c r="AK22" s="19">
        <v>885</v>
      </c>
      <c r="AL22" s="89"/>
      <c r="AM22" s="96">
        <v>180</v>
      </c>
      <c r="AN22" s="19">
        <v>705</v>
      </c>
      <c r="AO22" s="89"/>
      <c r="AP22" s="96"/>
      <c r="AQ22" s="19">
        <v>705</v>
      </c>
      <c r="AR22" s="89"/>
      <c r="AS22" s="96">
        <v>180</v>
      </c>
      <c r="AT22" s="19">
        <v>525</v>
      </c>
      <c r="AU22" s="89"/>
      <c r="AV22" s="96">
        <v>180</v>
      </c>
      <c r="AW22" s="19">
        <v>345</v>
      </c>
      <c r="AX22" s="89">
        <v>1260</v>
      </c>
      <c r="AY22" s="96"/>
      <c r="AZ22" s="19">
        <v>1605</v>
      </c>
      <c r="BA22" s="89"/>
      <c r="BB22" s="96"/>
      <c r="BC22" s="19">
        <v>1605</v>
      </c>
      <c r="BD22" s="89"/>
      <c r="BE22" s="96"/>
      <c r="BF22" s="19">
        <v>1605</v>
      </c>
      <c r="BG22" s="89"/>
      <c r="BH22" s="96"/>
      <c r="BI22" s="19">
        <v>1605</v>
      </c>
      <c r="BJ22" s="89"/>
      <c r="BK22" s="96">
        <v>345</v>
      </c>
      <c r="BL22" s="19">
        <v>1260</v>
      </c>
      <c r="BM22" s="89"/>
      <c r="BN22" s="96"/>
      <c r="BO22" s="19">
        <v>1260</v>
      </c>
      <c r="BP22" s="89"/>
      <c r="BQ22" s="96"/>
      <c r="BR22" s="19"/>
      <c r="BS22" s="89"/>
      <c r="BT22" s="96"/>
      <c r="BU22" s="19"/>
      <c r="BV22" s="89"/>
      <c r="BW22" s="96"/>
      <c r="BX22" s="19"/>
    </row>
    <row r="23" spans="1:76" x14ac:dyDescent="0.45">
      <c r="A23" s="82">
        <v>11</v>
      </c>
      <c r="B23" s="61" t="s">
        <v>65</v>
      </c>
      <c r="C23" s="71" t="s">
        <v>82</v>
      </c>
      <c r="D23" s="66">
        <v>4050</v>
      </c>
      <c r="E23" s="15"/>
      <c r="F23" s="14">
        <v>3150</v>
      </c>
      <c r="G23" s="27"/>
      <c r="H23" s="16">
        <v>6300</v>
      </c>
      <c r="I23" s="18">
        <v>4650</v>
      </c>
      <c r="J23" s="19">
        <v>4800</v>
      </c>
      <c r="K23" s="16">
        <v>5250</v>
      </c>
      <c r="L23" s="18">
        <v>5850</v>
      </c>
      <c r="M23" s="19">
        <v>4200</v>
      </c>
      <c r="N23" s="16">
        <v>9450</v>
      </c>
      <c r="O23" s="18">
        <v>10050</v>
      </c>
      <c r="P23" s="19">
        <v>3600</v>
      </c>
      <c r="Q23" s="16">
        <v>7350</v>
      </c>
      <c r="R23" s="18">
        <v>8250</v>
      </c>
      <c r="S23" s="19">
        <v>2700</v>
      </c>
      <c r="T23" s="16">
        <v>12600</v>
      </c>
      <c r="U23" s="18">
        <v>7500</v>
      </c>
      <c r="V23" s="19">
        <v>7800</v>
      </c>
      <c r="W23" s="89">
        <v>7350</v>
      </c>
      <c r="X23" s="96">
        <v>6150</v>
      </c>
      <c r="Y23" s="19">
        <v>9000</v>
      </c>
      <c r="Z23" s="89">
        <v>7350</v>
      </c>
      <c r="AA23" s="96">
        <v>5850</v>
      </c>
      <c r="AB23" s="19">
        <v>10500</v>
      </c>
      <c r="AC23" s="89">
        <v>4200</v>
      </c>
      <c r="AD23" s="96">
        <v>4950</v>
      </c>
      <c r="AE23" s="19">
        <v>9750</v>
      </c>
      <c r="AF23" s="89">
        <v>8400</v>
      </c>
      <c r="AG23" s="96">
        <v>4125</v>
      </c>
      <c r="AH23" s="19">
        <v>14025</v>
      </c>
      <c r="AI23" s="89">
        <v>2100</v>
      </c>
      <c r="AJ23" s="96">
        <v>5025</v>
      </c>
      <c r="AK23" s="19">
        <v>11100</v>
      </c>
      <c r="AL23" s="89">
        <v>4200</v>
      </c>
      <c r="AM23" s="96">
        <v>6600</v>
      </c>
      <c r="AN23" s="19">
        <v>8700</v>
      </c>
      <c r="AO23" s="89">
        <v>7350</v>
      </c>
      <c r="AP23" s="96">
        <v>3900</v>
      </c>
      <c r="AQ23" s="19">
        <v>12150</v>
      </c>
      <c r="AR23" s="89">
        <v>4200</v>
      </c>
      <c r="AS23" s="96">
        <v>6150</v>
      </c>
      <c r="AT23" s="19">
        <v>10200</v>
      </c>
      <c r="AU23" s="89">
        <v>4200</v>
      </c>
      <c r="AV23" s="96">
        <v>3900</v>
      </c>
      <c r="AW23" s="19">
        <v>10500</v>
      </c>
      <c r="AX23" s="89">
        <v>8400</v>
      </c>
      <c r="AY23" s="96">
        <v>8400</v>
      </c>
      <c r="AZ23" s="19">
        <v>10500</v>
      </c>
      <c r="BA23" s="89">
        <v>3150</v>
      </c>
      <c r="BB23" s="96">
        <v>7650</v>
      </c>
      <c r="BC23" s="19">
        <v>6000</v>
      </c>
      <c r="BD23" s="89">
        <v>10300</v>
      </c>
      <c r="BE23" s="96">
        <v>8950</v>
      </c>
      <c r="BF23" s="19">
        <v>7350</v>
      </c>
      <c r="BG23" s="89">
        <v>9450</v>
      </c>
      <c r="BH23" s="96">
        <v>8400</v>
      </c>
      <c r="BI23" s="19">
        <v>8400</v>
      </c>
      <c r="BJ23" s="89"/>
      <c r="BK23" s="96">
        <v>4200</v>
      </c>
      <c r="BL23" s="19">
        <v>14700</v>
      </c>
      <c r="BM23" s="89">
        <v>4200</v>
      </c>
      <c r="BN23" s="96">
        <v>5400</v>
      </c>
      <c r="BO23" s="19">
        <v>13500</v>
      </c>
      <c r="BP23" s="89">
        <v>8400</v>
      </c>
      <c r="BQ23" s="96"/>
      <c r="BR23" s="19"/>
      <c r="BS23" s="89">
        <v>7350</v>
      </c>
      <c r="BT23" s="96"/>
      <c r="BU23" s="19"/>
      <c r="BV23" s="89">
        <v>4200</v>
      </c>
      <c r="BW23" s="96"/>
      <c r="BX23" s="19"/>
    </row>
    <row r="24" spans="1:76" x14ac:dyDescent="0.45">
      <c r="A24" s="82">
        <v>12</v>
      </c>
      <c r="B24" s="85" t="s">
        <v>65</v>
      </c>
      <c r="C24" s="86" t="s">
        <v>83</v>
      </c>
      <c r="D24" s="66">
        <v>6120</v>
      </c>
      <c r="E24" s="15"/>
      <c r="F24" s="14">
        <v>6120</v>
      </c>
      <c r="G24" s="27"/>
      <c r="H24" s="16"/>
      <c r="I24" s="18">
        <v>900</v>
      </c>
      <c r="J24" s="19">
        <v>5220</v>
      </c>
      <c r="K24" s="16"/>
      <c r="L24" s="18">
        <v>1440</v>
      </c>
      <c r="M24" s="19">
        <v>3780</v>
      </c>
      <c r="N24" s="16"/>
      <c r="O24" s="18"/>
      <c r="P24" s="19">
        <v>3780</v>
      </c>
      <c r="Q24" s="16"/>
      <c r="R24" s="18">
        <v>360</v>
      </c>
      <c r="S24" s="19">
        <v>3420</v>
      </c>
      <c r="T24" s="17"/>
      <c r="U24" s="18"/>
      <c r="V24" s="19">
        <v>3420</v>
      </c>
      <c r="W24" s="92"/>
      <c r="X24" s="96"/>
      <c r="Y24" s="19">
        <v>3420</v>
      </c>
      <c r="Z24" s="92"/>
      <c r="AA24" s="96"/>
      <c r="AB24" s="19">
        <v>3420</v>
      </c>
      <c r="AC24" s="92"/>
      <c r="AD24" s="96"/>
      <c r="AE24" s="19">
        <v>3420</v>
      </c>
      <c r="AF24" s="92"/>
      <c r="AG24" s="96"/>
      <c r="AH24" s="19">
        <v>3420</v>
      </c>
      <c r="AI24" s="92"/>
      <c r="AJ24" s="96"/>
      <c r="AK24" s="19">
        <v>3420</v>
      </c>
      <c r="AL24" s="92"/>
      <c r="AM24" s="96">
        <v>360</v>
      </c>
      <c r="AN24" s="19">
        <v>3060</v>
      </c>
      <c r="AO24" s="92"/>
      <c r="AP24" s="96"/>
      <c r="AQ24" s="19">
        <v>3060</v>
      </c>
      <c r="AR24" s="92"/>
      <c r="AS24" s="96">
        <v>540</v>
      </c>
      <c r="AT24" s="19">
        <v>2520</v>
      </c>
      <c r="AU24" s="92"/>
      <c r="AV24" s="96"/>
      <c r="AW24" s="19">
        <v>2520</v>
      </c>
      <c r="AX24" s="92"/>
      <c r="AY24" s="96"/>
      <c r="AZ24" s="19">
        <v>2520</v>
      </c>
      <c r="BA24" s="92"/>
      <c r="BB24" s="96"/>
      <c r="BC24" s="19">
        <v>2520</v>
      </c>
      <c r="BD24" s="92"/>
      <c r="BE24" s="96"/>
      <c r="BF24" s="19">
        <v>2520</v>
      </c>
      <c r="BG24" s="92"/>
      <c r="BH24" s="96"/>
      <c r="BI24" s="19">
        <v>2520</v>
      </c>
      <c r="BJ24" s="92"/>
      <c r="BK24" s="96"/>
      <c r="BL24" s="19">
        <v>2520</v>
      </c>
      <c r="BM24" s="92"/>
      <c r="BN24" s="96"/>
      <c r="BO24" s="19">
        <v>2520</v>
      </c>
      <c r="BP24" s="92"/>
      <c r="BQ24" s="96"/>
      <c r="BR24" s="19"/>
      <c r="BS24" s="92"/>
      <c r="BT24" s="96"/>
      <c r="BU24" s="19"/>
      <c r="BV24" s="92"/>
      <c r="BW24" s="96"/>
      <c r="BX24" s="19"/>
    </row>
    <row r="25" spans="1:76" x14ac:dyDescent="0.45">
      <c r="A25" s="238">
        <v>13</v>
      </c>
      <c r="B25" s="245" t="s">
        <v>65</v>
      </c>
      <c r="C25" s="246" t="s">
        <v>84</v>
      </c>
      <c r="D25" s="66">
        <v>13860</v>
      </c>
      <c r="E25" s="15"/>
      <c r="F25" s="14">
        <v>13860</v>
      </c>
      <c r="G25" s="27" t="s">
        <v>57</v>
      </c>
      <c r="H25" s="247">
        <v>7560</v>
      </c>
      <c r="I25" s="18">
        <v>7020</v>
      </c>
      <c r="J25" s="248">
        <v>14400</v>
      </c>
      <c r="K25" s="247">
        <v>1260</v>
      </c>
      <c r="L25" s="18">
        <v>8100</v>
      </c>
      <c r="M25" s="248">
        <v>5040</v>
      </c>
      <c r="N25" s="247">
        <v>12600</v>
      </c>
      <c r="O25" s="18">
        <v>11340</v>
      </c>
      <c r="P25" s="248">
        <v>5040</v>
      </c>
      <c r="Q25" s="247">
        <v>8820</v>
      </c>
      <c r="R25" s="18">
        <v>8100</v>
      </c>
      <c r="S25" s="248">
        <v>4500</v>
      </c>
      <c r="T25" s="247">
        <v>15120</v>
      </c>
      <c r="U25" s="18">
        <v>10260</v>
      </c>
      <c r="V25" s="248">
        <v>9360</v>
      </c>
      <c r="W25" s="249">
        <v>8820</v>
      </c>
      <c r="X25" s="96">
        <v>6480</v>
      </c>
      <c r="Y25" s="248">
        <v>10440</v>
      </c>
      <c r="Z25" s="249">
        <v>7560</v>
      </c>
      <c r="AA25" s="96">
        <v>5040</v>
      </c>
      <c r="AB25" s="248">
        <v>11700</v>
      </c>
      <c r="AC25" s="249">
        <v>17640</v>
      </c>
      <c r="AD25" s="96">
        <v>6300</v>
      </c>
      <c r="AE25" s="248">
        <v>22500</v>
      </c>
      <c r="AF25" s="249">
        <v>2520</v>
      </c>
      <c r="AG25" s="96">
        <v>9450</v>
      </c>
      <c r="AH25" s="248">
        <v>12330</v>
      </c>
      <c r="AI25" s="249">
        <v>10080</v>
      </c>
      <c r="AJ25" s="96">
        <v>8550</v>
      </c>
      <c r="AK25" s="248">
        <v>13860</v>
      </c>
      <c r="AL25" s="249">
        <v>10080</v>
      </c>
      <c r="AM25" s="96">
        <v>9180</v>
      </c>
      <c r="AN25" s="248">
        <v>14760</v>
      </c>
      <c r="AO25" s="249">
        <v>7560</v>
      </c>
      <c r="AP25" s="96">
        <v>9720</v>
      </c>
      <c r="AQ25" s="248">
        <v>12600</v>
      </c>
      <c r="AR25" s="249">
        <v>13860</v>
      </c>
      <c r="AS25" s="96">
        <v>12600</v>
      </c>
      <c r="AT25" s="248">
        <v>13860</v>
      </c>
      <c r="AU25" s="249">
        <v>10080</v>
      </c>
      <c r="AV25" s="96">
        <v>7560</v>
      </c>
      <c r="AW25" s="248">
        <v>16380</v>
      </c>
      <c r="AX25" s="249">
        <v>13860</v>
      </c>
      <c r="AY25" s="96">
        <v>13320</v>
      </c>
      <c r="AZ25" s="248">
        <v>15660</v>
      </c>
      <c r="BA25" s="249">
        <v>6300</v>
      </c>
      <c r="BB25" s="96">
        <v>10620</v>
      </c>
      <c r="BC25" s="248">
        <v>11340</v>
      </c>
      <c r="BD25" s="249">
        <v>7560</v>
      </c>
      <c r="BE25" s="96">
        <v>8820</v>
      </c>
      <c r="BF25" s="248">
        <v>10080</v>
      </c>
      <c r="BG25" s="249">
        <v>15120</v>
      </c>
      <c r="BH25" s="96">
        <v>6300</v>
      </c>
      <c r="BI25" s="248">
        <v>18900</v>
      </c>
      <c r="BJ25" s="249">
        <v>7560</v>
      </c>
      <c r="BK25" s="96">
        <v>8670</v>
      </c>
      <c r="BL25" s="248">
        <v>17640</v>
      </c>
      <c r="BM25" s="249">
        <v>5040</v>
      </c>
      <c r="BN25" s="96">
        <v>6300</v>
      </c>
      <c r="BO25" s="248">
        <v>16380</v>
      </c>
      <c r="BP25" s="249">
        <v>13860</v>
      </c>
      <c r="BQ25" s="96"/>
      <c r="BR25" s="248"/>
      <c r="BS25" s="249">
        <v>8820</v>
      </c>
      <c r="BT25" s="96"/>
      <c r="BU25" s="248"/>
      <c r="BV25" s="249">
        <v>5040</v>
      </c>
      <c r="BW25" s="96"/>
      <c r="BX25" s="248"/>
    </row>
    <row r="26" spans="1:76" x14ac:dyDescent="0.45">
      <c r="A26" s="231"/>
      <c r="B26" s="233"/>
      <c r="C26" s="235"/>
      <c r="D26" s="66"/>
      <c r="E26" s="15"/>
      <c r="F26" s="14"/>
      <c r="G26" s="27" t="s">
        <v>58</v>
      </c>
      <c r="H26" s="237"/>
      <c r="I26" s="18"/>
      <c r="J26" s="229"/>
      <c r="K26" s="237"/>
      <c r="L26" s="18">
        <v>2520</v>
      </c>
      <c r="M26" s="229"/>
      <c r="N26" s="237"/>
      <c r="O26" s="18">
        <v>1260</v>
      </c>
      <c r="P26" s="229"/>
      <c r="Q26" s="237"/>
      <c r="R26" s="18">
        <v>1260</v>
      </c>
      <c r="S26" s="229"/>
      <c r="T26" s="237"/>
      <c r="U26" s="18"/>
      <c r="V26" s="229"/>
      <c r="W26" s="244"/>
      <c r="X26" s="96">
        <v>1260</v>
      </c>
      <c r="Y26" s="229"/>
      <c r="Z26" s="244"/>
      <c r="AA26" s="96">
        <v>1260</v>
      </c>
      <c r="AB26" s="229"/>
      <c r="AC26" s="244"/>
      <c r="AD26" s="96">
        <v>1260</v>
      </c>
      <c r="AE26" s="229"/>
      <c r="AF26" s="244"/>
      <c r="AG26" s="96">
        <v>1260</v>
      </c>
      <c r="AH26" s="229"/>
      <c r="AI26" s="244"/>
      <c r="AJ26" s="96"/>
      <c r="AK26" s="229"/>
      <c r="AL26" s="244"/>
      <c r="AM26" s="96"/>
      <c r="AN26" s="229"/>
      <c r="AO26" s="244"/>
      <c r="AP26" s="96"/>
      <c r="AQ26" s="229"/>
      <c r="AR26" s="244"/>
      <c r="AS26" s="96"/>
      <c r="AT26" s="229"/>
      <c r="AU26" s="244"/>
      <c r="AV26" s="96"/>
      <c r="AW26" s="229"/>
      <c r="AX26" s="244"/>
      <c r="AY26" s="96"/>
      <c r="AZ26" s="229"/>
      <c r="BA26" s="244"/>
      <c r="BB26" s="96"/>
      <c r="BC26" s="229"/>
      <c r="BD26" s="244"/>
      <c r="BE26" s="96"/>
      <c r="BF26" s="229"/>
      <c r="BG26" s="244"/>
      <c r="BH26" s="96"/>
      <c r="BI26" s="229"/>
      <c r="BJ26" s="244"/>
      <c r="BK26" s="96"/>
      <c r="BL26" s="229"/>
      <c r="BM26" s="244"/>
      <c r="BN26" s="96"/>
      <c r="BO26" s="229"/>
      <c r="BP26" s="244"/>
      <c r="BQ26" s="96"/>
      <c r="BR26" s="229"/>
      <c r="BS26" s="244"/>
      <c r="BT26" s="96"/>
      <c r="BU26" s="229"/>
      <c r="BV26" s="244"/>
      <c r="BW26" s="96"/>
      <c r="BX26" s="229"/>
    </row>
    <row r="27" spans="1:76" hidden="1" x14ac:dyDescent="0.45">
      <c r="A27" s="82"/>
      <c r="B27" s="61" t="s">
        <v>65</v>
      </c>
      <c r="C27" s="71" t="s">
        <v>85</v>
      </c>
      <c r="D27" s="66">
        <v>280</v>
      </c>
      <c r="E27" s="15"/>
      <c r="F27" s="14">
        <v>280</v>
      </c>
      <c r="G27" s="27"/>
      <c r="H27" s="16">
        <v>220</v>
      </c>
      <c r="I27" s="18"/>
      <c r="J27" s="19"/>
      <c r="K27" s="16"/>
      <c r="L27" s="18"/>
      <c r="M27" s="19"/>
      <c r="N27" s="16"/>
      <c r="O27" s="18"/>
      <c r="P27" s="19"/>
      <c r="Q27" s="16"/>
      <c r="R27" s="18"/>
      <c r="S27" s="19"/>
      <c r="T27" s="16"/>
      <c r="U27" s="18"/>
      <c r="V27" s="19"/>
      <c r="W27" s="89"/>
      <c r="X27" s="96"/>
      <c r="Y27" s="19"/>
      <c r="Z27" s="89"/>
      <c r="AA27" s="96"/>
      <c r="AB27" s="19"/>
      <c r="AC27" s="89"/>
      <c r="AD27" s="96"/>
      <c r="AE27" s="19"/>
      <c r="AF27" s="89"/>
      <c r="AG27" s="96"/>
      <c r="AH27" s="19"/>
      <c r="AI27" s="89"/>
      <c r="AJ27" s="96"/>
      <c r="AK27" s="19"/>
      <c r="AL27" s="89"/>
      <c r="AM27" s="96"/>
      <c r="AN27" s="19"/>
      <c r="AO27" s="89"/>
      <c r="AP27" s="96"/>
      <c r="AQ27" s="19"/>
      <c r="AR27" s="89"/>
      <c r="AS27" s="96"/>
      <c r="AT27" s="19"/>
      <c r="AU27" s="89"/>
      <c r="AV27" s="96"/>
      <c r="AW27" s="19"/>
      <c r="AX27" s="89"/>
      <c r="AY27" s="96"/>
      <c r="AZ27" s="19"/>
      <c r="BA27" s="89"/>
      <c r="BB27" s="96"/>
      <c r="BC27" s="19"/>
      <c r="BD27" s="89"/>
      <c r="BE27" s="96"/>
      <c r="BF27" s="19"/>
      <c r="BG27" s="89"/>
      <c r="BH27" s="96"/>
      <c r="BI27" s="19"/>
      <c r="BJ27" s="89"/>
      <c r="BK27" s="96"/>
      <c r="BL27" s="19"/>
      <c r="BM27" s="89"/>
      <c r="BN27" s="96"/>
      <c r="BO27" s="19"/>
      <c r="BP27" s="89"/>
      <c r="BQ27" s="96"/>
      <c r="BR27" s="19"/>
      <c r="BS27" s="89"/>
      <c r="BT27" s="96"/>
      <c r="BU27" s="19"/>
      <c r="BV27" s="89"/>
      <c r="BW27" s="96"/>
      <c r="BX27" s="19"/>
    </row>
    <row r="28" spans="1:76" x14ac:dyDescent="0.45">
      <c r="A28" s="82">
        <v>14</v>
      </c>
      <c r="B28" s="77" t="s">
        <v>65</v>
      </c>
      <c r="C28" s="78" t="s">
        <v>86</v>
      </c>
      <c r="D28" s="66">
        <v>1320</v>
      </c>
      <c r="E28" s="15"/>
      <c r="F28" s="14">
        <v>1320</v>
      </c>
      <c r="G28" s="27" t="s">
        <v>59</v>
      </c>
      <c r="H28" s="16"/>
      <c r="I28" s="18"/>
      <c r="J28" s="19">
        <v>1320</v>
      </c>
      <c r="K28" s="16"/>
      <c r="L28" s="18"/>
      <c r="M28" s="19">
        <v>1320</v>
      </c>
      <c r="N28" s="16"/>
      <c r="O28" s="18"/>
      <c r="P28" s="19">
        <v>1320</v>
      </c>
      <c r="Q28" s="16"/>
      <c r="R28" s="18"/>
      <c r="S28" s="19">
        <v>1320</v>
      </c>
      <c r="T28" s="16"/>
      <c r="U28" s="18"/>
      <c r="V28" s="19">
        <v>1320</v>
      </c>
      <c r="W28" s="89"/>
      <c r="X28" s="96"/>
      <c r="Y28" s="19">
        <v>1320</v>
      </c>
      <c r="Z28" s="89"/>
      <c r="AA28" s="96">
        <v>300</v>
      </c>
      <c r="AB28" s="19">
        <v>1020</v>
      </c>
      <c r="AC28" s="89"/>
      <c r="AD28" s="96"/>
      <c r="AE28" s="19">
        <v>1020</v>
      </c>
      <c r="AF28" s="89"/>
      <c r="AG28" s="96"/>
      <c r="AH28" s="19">
        <v>1020</v>
      </c>
      <c r="AI28" s="89"/>
      <c r="AJ28" s="96"/>
      <c r="AK28" s="19">
        <v>1020</v>
      </c>
      <c r="AL28" s="89"/>
      <c r="AM28" s="96"/>
      <c r="AN28" s="19">
        <v>1020</v>
      </c>
      <c r="AO28" s="89"/>
      <c r="AP28" s="96">
        <v>1020</v>
      </c>
      <c r="AQ28" s="19"/>
      <c r="AR28" s="89"/>
      <c r="AS28" s="96"/>
      <c r="AT28" s="19"/>
      <c r="AU28" s="89"/>
      <c r="AV28" s="96"/>
      <c r="AW28" s="19"/>
      <c r="AX28" s="89">
        <v>200</v>
      </c>
      <c r="AY28" s="96"/>
      <c r="AZ28" s="19">
        <v>200</v>
      </c>
      <c r="BA28" s="89"/>
      <c r="BB28" s="96"/>
      <c r="BC28" s="19">
        <v>200</v>
      </c>
      <c r="BD28" s="89"/>
      <c r="BE28" s="96"/>
      <c r="BF28" s="19">
        <v>200</v>
      </c>
      <c r="BG28" s="89"/>
      <c r="BH28" s="96"/>
      <c r="BI28" s="19">
        <v>200</v>
      </c>
      <c r="BJ28" s="89"/>
      <c r="BK28" s="96"/>
      <c r="BL28" s="19">
        <v>200</v>
      </c>
      <c r="BM28" s="89"/>
      <c r="BN28" s="96"/>
      <c r="BO28" s="19">
        <v>200</v>
      </c>
      <c r="BP28" s="89"/>
      <c r="BQ28" s="96"/>
      <c r="BR28" s="19"/>
      <c r="BS28" s="89"/>
      <c r="BT28" s="96"/>
      <c r="BU28" s="19"/>
      <c r="BV28" s="89"/>
      <c r="BW28" s="96"/>
      <c r="BX28" s="19"/>
    </row>
    <row r="29" spans="1:76" hidden="1" x14ac:dyDescent="0.45">
      <c r="A29" s="82">
        <v>15</v>
      </c>
      <c r="B29" s="77" t="s">
        <v>65</v>
      </c>
      <c r="C29" s="78" t="s">
        <v>87</v>
      </c>
      <c r="D29" s="66">
        <v>520</v>
      </c>
      <c r="E29" s="15"/>
      <c r="F29" s="14">
        <v>520</v>
      </c>
      <c r="G29" s="27"/>
      <c r="H29" s="16"/>
      <c r="I29" s="18"/>
      <c r="J29" s="19">
        <v>520</v>
      </c>
      <c r="K29" s="16">
        <v>480</v>
      </c>
      <c r="L29" s="18"/>
      <c r="M29" s="19">
        <v>1000</v>
      </c>
      <c r="N29" s="16"/>
      <c r="O29" s="18">
        <v>100</v>
      </c>
      <c r="P29" s="19">
        <v>900</v>
      </c>
      <c r="Q29" s="16">
        <v>60</v>
      </c>
      <c r="R29" s="18"/>
      <c r="S29" s="19">
        <v>900</v>
      </c>
      <c r="T29" s="16"/>
      <c r="U29" s="18">
        <v>400</v>
      </c>
      <c r="V29" s="19">
        <v>500</v>
      </c>
      <c r="W29" s="89"/>
      <c r="X29" s="96">
        <v>120</v>
      </c>
      <c r="Y29" s="19">
        <v>380</v>
      </c>
      <c r="Z29" s="89">
        <v>400</v>
      </c>
      <c r="AA29" s="96">
        <v>200</v>
      </c>
      <c r="AB29" s="19">
        <v>580</v>
      </c>
      <c r="AC29" s="89"/>
      <c r="AD29" s="96"/>
      <c r="AE29" s="19">
        <v>580</v>
      </c>
      <c r="AF29" s="89"/>
      <c r="AG29" s="96"/>
      <c r="AH29" s="19">
        <v>580</v>
      </c>
      <c r="AI29" s="89"/>
      <c r="AJ29" s="96"/>
      <c r="AK29" s="19">
        <v>580</v>
      </c>
      <c r="AL29" s="89">
        <v>200</v>
      </c>
      <c r="AM29" s="96">
        <v>400</v>
      </c>
      <c r="AN29" s="19">
        <v>380</v>
      </c>
      <c r="AO29" s="89"/>
      <c r="AP29" s="96">
        <v>200</v>
      </c>
      <c r="AQ29" s="19">
        <v>180</v>
      </c>
      <c r="AR29" s="89"/>
      <c r="AS29" s="96"/>
      <c r="AT29" s="19">
        <v>180</v>
      </c>
      <c r="AU29" s="89"/>
      <c r="AV29" s="96"/>
      <c r="AW29" s="19">
        <v>180</v>
      </c>
      <c r="AX29" s="89">
        <v>20</v>
      </c>
      <c r="AY29" s="96">
        <v>80</v>
      </c>
      <c r="AZ29" s="19">
        <v>100</v>
      </c>
      <c r="BA29" s="89">
        <v>100</v>
      </c>
      <c r="BB29" s="96">
        <v>200</v>
      </c>
      <c r="BC29" s="19"/>
      <c r="BD29" s="89"/>
      <c r="BE29" s="96"/>
      <c r="BF29" s="19"/>
      <c r="BG29" s="89">
        <v>60</v>
      </c>
      <c r="BH29" s="96">
        <v>60</v>
      </c>
      <c r="BI29" s="19"/>
      <c r="BJ29" s="89">
        <v>120</v>
      </c>
      <c r="BK29" s="96">
        <v>120</v>
      </c>
      <c r="BL29" s="19"/>
      <c r="BM29" s="89">
        <v>100</v>
      </c>
      <c r="BN29" s="96">
        <v>100</v>
      </c>
      <c r="BO29" s="19"/>
      <c r="BP29" s="89"/>
      <c r="BQ29" s="96"/>
      <c r="BR29" s="19"/>
      <c r="BS29" s="89"/>
      <c r="BT29" s="96"/>
      <c r="BU29" s="19"/>
      <c r="BV29" s="89"/>
      <c r="BW29" s="96"/>
      <c r="BX29" s="19"/>
    </row>
    <row r="30" spans="1:76" x14ac:dyDescent="0.45">
      <c r="A30" s="82">
        <v>15</v>
      </c>
      <c r="B30" s="77" t="s">
        <v>65</v>
      </c>
      <c r="C30" s="78" t="s">
        <v>88</v>
      </c>
      <c r="D30" s="66">
        <v>1750</v>
      </c>
      <c r="E30" s="15"/>
      <c r="F30" s="14">
        <v>1750</v>
      </c>
      <c r="G30" s="27"/>
      <c r="H30" s="16"/>
      <c r="I30" s="18">
        <v>162.5</v>
      </c>
      <c r="J30" s="19">
        <v>1587.5</v>
      </c>
      <c r="K30" s="16"/>
      <c r="L30" s="18">
        <v>125</v>
      </c>
      <c r="M30" s="19">
        <v>1462.5</v>
      </c>
      <c r="N30" s="16"/>
      <c r="O30" s="18"/>
      <c r="P30" s="19">
        <v>1462.5</v>
      </c>
      <c r="Q30" s="16">
        <v>1050</v>
      </c>
      <c r="R30" s="18">
        <v>350</v>
      </c>
      <c r="S30" s="19">
        <v>2162.5</v>
      </c>
      <c r="T30" s="16">
        <v>1050</v>
      </c>
      <c r="U30" s="18">
        <v>1225</v>
      </c>
      <c r="V30" s="19">
        <v>1988</v>
      </c>
      <c r="W30" s="89"/>
      <c r="X30" s="96">
        <v>800</v>
      </c>
      <c r="Y30" s="19">
        <v>1187.5</v>
      </c>
      <c r="Z30" s="89">
        <v>1050</v>
      </c>
      <c r="AA30" s="96">
        <v>150</v>
      </c>
      <c r="AB30" s="19">
        <v>2088</v>
      </c>
      <c r="AC30" s="89"/>
      <c r="AD30" s="96">
        <v>525</v>
      </c>
      <c r="AE30" s="19">
        <v>1562.5</v>
      </c>
      <c r="AF30" s="89">
        <v>1050</v>
      </c>
      <c r="AG30" s="96">
        <v>62.5</v>
      </c>
      <c r="AH30" s="19">
        <v>2550</v>
      </c>
      <c r="AI30" s="89"/>
      <c r="AJ30" s="96">
        <v>1325</v>
      </c>
      <c r="AK30" s="19">
        <v>1225</v>
      </c>
      <c r="AL30" s="89">
        <v>1050</v>
      </c>
      <c r="AM30" s="96">
        <v>475</v>
      </c>
      <c r="AN30" s="19">
        <v>1800</v>
      </c>
      <c r="AO30" s="89"/>
      <c r="AP30" s="96"/>
      <c r="AQ30" s="19">
        <v>1800</v>
      </c>
      <c r="AR30" s="89"/>
      <c r="AS30" s="96">
        <v>325</v>
      </c>
      <c r="AT30" s="19">
        <v>1475</v>
      </c>
      <c r="AU30" s="89">
        <v>1050</v>
      </c>
      <c r="AV30" s="96">
        <v>1475</v>
      </c>
      <c r="AW30" s="19">
        <v>1050</v>
      </c>
      <c r="AX30" s="89"/>
      <c r="AY30" s="96">
        <v>225</v>
      </c>
      <c r="AZ30" s="19">
        <v>825</v>
      </c>
      <c r="BA30" s="89"/>
      <c r="BB30" s="96">
        <v>100</v>
      </c>
      <c r="BC30" s="19">
        <v>725</v>
      </c>
      <c r="BD30" s="89">
        <v>2100</v>
      </c>
      <c r="BE30" s="96">
        <v>2225</v>
      </c>
      <c r="BF30" s="19">
        <v>600</v>
      </c>
      <c r="BG30" s="89"/>
      <c r="BH30" s="96">
        <v>62.5</v>
      </c>
      <c r="BI30" s="19">
        <v>538</v>
      </c>
      <c r="BJ30" s="89">
        <v>2100</v>
      </c>
      <c r="BK30" s="96">
        <v>975</v>
      </c>
      <c r="BL30" s="19">
        <v>1663</v>
      </c>
      <c r="BM30" s="89"/>
      <c r="BN30" s="96">
        <v>250</v>
      </c>
      <c r="BO30" s="19">
        <v>1413</v>
      </c>
      <c r="BP30" s="89"/>
      <c r="BQ30" s="96"/>
      <c r="BR30" s="19"/>
      <c r="BS30" s="89">
        <v>2100</v>
      </c>
      <c r="BT30" s="96"/>
      <c r="BU30" s="19"/>
      <c r="BV30" s="89"/>
      <c r="BW30" s="96"/>
      <c r="BX30" s="19"/>
    </row>
    <row r="31" spans="1:76" x14ac:dyDescent="0.45">
      <c r="A31" s="82">
        <v>16</v>
      </c>
      <c r="B31" s="77" t="s">
        <v>65</v>
      </c>
      <c r="C31" s="78" t="s">
        <v>89</v>
      </c>
      <c r="D31" s="66">
        <v>2520</v>
      </c>
      <c r="E31" s="15"/>
      <c r="F31" s="14">
        <v>1260</v>
      </c>
      <c r="G31" s="27"/>
      <c r="H31" s="16">
        <v>6300</v>
      </c>
      <c r="I31" s="18">
        <v>3780</v>
      </c>
      <c r="J31" s="19">
        <v>3780</v>
      </c>
      <c r="K31" s="16">
        <v>1260</v>
      </c>
      <c r="L31" s="18">
        <v>5040</v>
      </c>
      <c r="M31" s="19"/>
      <c r="N31" s="16">
        <v>10080</v>
      </c>
      <c r="O31" s="18">
        <v>7560</v>
      </c>
      <c r="P31" s="19">
        <v>2520</v>
      </c>
      <c r="Q31" s="16">
        <v>7560</v>
      </c>
      <c r="R31" s="18">
        <v>10080</v>
      </c>
      <c r="S31" s="19"/>
      <c r="T31" s="16">
        <v>3780</v>
      </c>
      <c r="U31" s="18">
        <v>3780</v>
      </c>
      <c r="V31" s="19"/>
      <c r="W31" s="89">
        <v>15120</v>
      </c>
      <c r="X31" s="96">
        <v>5040</v>
      </c>
      <c r="Y31" s="19">
        <v>10080</v>
      </c>
      <c r="Z31" s="89">
        <v>10080</v>
      </c>
      <c r="AA31" s="96">
        <v>6300</v>
      </c>
      <c r="AB31" s="19">
        <v>13860</v>
      </c>
      <c r="AC31" s="89">
        <v>6300</v>
      </c>
      <c r="AD31" s="96">
        <v>5040</v>
      </c>
      <c r="AE31" s="19">
        <v>15120</v>
      </c>
      <c r="AF31" s="89">
        <v>6300</v>
      </c>
      <c r="AG31" s="96">
        <v>5040</v>
      </c>
      <c r="AH31" s="19">
        <v>16380</v>
      </c>
      <c r="AI31" s="89">
        <v>2505</v>
      </c>
      <c r="AJ31" s="96">
        <v>5040</v>
      </c>
      <c r="AK31" s="19">
        <v>13845</v>
      </c>
      <c r="AL31" s="89">
        <v>2520</v>
      </c>
      <c r="AM31" s="96">
        <v>6285</v>
      </c>
      <c r="AN31" s="19">
        <v>10080</v>
      </c>
      <c r="AO31" s="89">
        <v>5040</v>
      </c>
      <c r="AP31" s="96">
        <v>7560</v>
      </c>
      <c r="AQ31" s="19">
        <v>7560</v>
      </c>
      <c r="AR31" s="89">
        <v>1260</v>
      </c>
      <c r="AS31" s="96">
        <v>2520</v>
      </c>
      <c r="AT31" s="19">
        <v>6300</v>
      </c>
      <c r="AU31" s="89">
        <v>11340</v>
      </c>
      <c r="AV31" s="96">
        <v>5040</v>
      </c>
      <c r="AW31" s="19">
        <v>1260</v>
      </c>
      <c r="AX31" s="89">
        <v>10080</v>
      </c>
      <c r="AY31" s="96">
        <v>8820</v>
      </c>
      <c r="AZ31" s="19">
        <v>13860</v>
      </c>
      <c r="BA31" s="89">
        <v>2520</v>
      </c>
      <c r="BB31" s="96">
        <v>3780</v>
      </c>
      <c r="BC31" s="19">
        <v>12600</v>
      </c>
      <c r="BD31" s="89">
        <v>8820</v>
      </c>
      <c r="BE31" s="96">
        <v>7560</v>
      </c>
      <c r="BF31" s="19">
        <v>13860</v>
      </c>
      <c r="BG31" s="89">
        <v>6300</v>
      </c>
      <c r="BH31" s="96">
        <v>3780</v>
      </c>
      <c r="BI31" s="19">
        <v>16380</v>
      </c>
      <c r="BJ31" s="89">
        <v>6300</v>
      </c>
      <c r="BK31" s="96">
        <v>3780</v>
      </c>
      <c r="BL31" s="19">
        <v>18900</v>
      </c>
      <c r="BM31" s="89">
        <v>1260</v>
      </c>
      <c r="BN31" s="96">
        <v>3780</v>
      </c>
      <c r="BO31" s="19">
        <v>16380</v>
      </c>
      <c r="BP31" s="89">
        <v>7560</v>
      </c>
      <c r="BQ31" s="96"/>
      <c r="BR31" s="19"/>
      <c r="BS31" s="89">
        <v>5040</v>
      </c>
      <c r="BT31" s="96"/>
      <c r="BU31" s="19"/>
      <c r="BV31" s="89">
        <v>2520</v>
      </c>
      <c r="BW31" s="96"/>
      <c r="BX31" s="19"/>
    </row>
    <row r="32" spans="1:76" x14ac:dyDescent="0.45">
      <c r="A32" s="82">
        <v>17</v>
      </c>
      <c r="B32" s="77" t="s">
        <v>65</v>
      </c>
      <c r="C32" s="78" t="s">
        <v>90</v>
      </c>
      <c r="D32" s="66">
        <v>4000</v>
      </c>
      <c r="E32" s="15"/>
      <c r="F32" s="14">
        <v>4000</v>
      </c>
      <c r="G32" s="27"/>
      <c r="H32" s="16">
        <v>1500</v>
      </c>
      <c r="I32" s="18">
        <v>1500</v>
      </c>
      <c r="J32" s="19">
        <v>4000</v>
      </c>
      <c r="K32" s="16">
        <v>1500</v>
      </c>
      <c r="L32" s="18">
        <v>1500</v>
      </c>
      <c r="M32" s="19">
        <v>4000</v>
      </c>
      <c r="N32" s="16"/>
      <c r="O32" s="18">
        <v>500</v>
      </c>
      <c r="P32" s="19">
        <v>3500</v>
      </c>
      <c r="Q32" s="16">
        <v>1000</v>
      </c>
      <c r="R32" s="18">
        <v>1500</v>
      </c>
      <c r="S32" s="19">
        <v>3000</v>
      </c>
      <c r="T32" s="16">
        <v>2000</v>
      </c>
      <c r="U32" s="18">
        <v>1000</v>
      </c>
      <c r="V32" s="19">
        <v>4000</v>
      </c>
      <c r="W32" s="89"/>
      <c r="X32" s="96">
        <v>1000</v>
      </c>
      <c r="Y32" s="19">
        <v>3000</v>
      </c>
      <c r="Z32" s="89">
        <v>1500</v>
      </c>
      <c r="AA32" s="96">
        <v>1000</v>
      </c>
      <c r="AB32" s="19">
        <v>3500</v>
      </c>
      <c r="AC32" s="89">
        <v>1500</v>
      </c>
      <c r="AD32" s="96">
        <v>500</v>
      </c>
      <c r="AE32" s="19">
        <v>4500</v>
      </c>
      <c r="AF32" s="89">
        <v>1500</v>
      </c>
      <c r="AG32" s="96">
        <v>1500</v>
      </c>
      <c r="AH32" s="19">
        <v>4500</v>
      </c>
      <c r="AI32" s="89"/>
      <c r="AJ32" s="96"/>
      <c r="AK32" s="19">
        <v>4500</v>
      </c>
      <c r="AL32" s="89">
        <v>1000</v>
      </c>
      <c r="AM32" s="96">
        <v>500</v>
      </c>
      <c r="AN32" s="19">
        <v>5000</v>
      </c>
      <c r="AO32" s="89"/>
      <c r="AP32" s="96">
        <v>2500</v>
      </c>
      <c r="AQ32" s="19">
        <v>2500</v>
      </c>
      <c r="AR32" s="89">
        <v>500</v>
      </c>
      <c r="AS32" s="96"/>
      <c r="AT32" s="19">
        <v>3000</v>
      </c>
      <c r="AU32" s="89"/>
      <c r="AV32" s="96">
        <v>1000</v>
      </c>
      <c r="AW32" s="19">
        <v>2000</v>
      </c>
      <c r="AX32" s="89">
        <v>500</v>
      </c>
      <c r="AY32" s="96">
        <v>500</v>
      </c>
      <c r="AZ32" s="19">
        <v>2000</v>
      </c>
      <c r="BA32" s="89">
        <v>3500</v>
      </c>
      <c r="BB32" s="96">
        <v>1000</v>
      </c>
      <c r="BC32" s="19">
        <v>4500</v>
      </c>
      <c r="BD32" s="89">
        <v>500</v>
      </c>
      <c r="BE32" s="96"/>
      <c r="BF32" s="19">
        <v>5000</v>
      </c>
      <c r="BG32" s="89"/>
      <c r="BH32" s="96">
        <v>1000</v>
      </c>
      <c r="BI32" s="19">
        <v>4000</v>
      </c>
      <c r="BJ32" s="89"/>
      <c r="BK32" s="96">
        <v>1000</v>
      </c>
      <c r="BL32" s="19">
        <v>3000</v>
      </c>
      <c r="BM32" s="89">
        <v>1000</v>
      </c>
      <c r="BN32" s="96">
        <v>1000</v>
      </c>
      <c r="BO32" s="19">
        <v>3000</v>
      </c>
      <c r="BP32" s="89">
        <v>1000</v>
      </c>
      <c r="BQ32" s="96"/>
      <c r="BR32" s="19"/>
      <c r="BS32" s="89">
        <v>1000</v>
      </c>
      <c r="BT32" s="96"/>
      <c r="BU32" s="19"/>
      <c r="BV32" s="89">
        <v>1000</v>
      </c>
      <c r="BW32" s="96"/>
      <c r="BX32" s="19"/>
    </row>
    <row r="33" spans="1:76" x14ac:dyDescent="0.45">
      <c r="A33" s="82">
        <v>18</v>
      </c>
      <c r="B33" s="77" t="s">
        <v>65</v>
      </c>
      <c r="C33" s="78" t="s">
        <v>109</v>
      </c>
      <c r="D33" s="66">
        <v>2000</v>
      </c>
      <c r="E33" s="15"/>
      <c r="F33" s="14">
        <v>2000</v>
      </c>
      <c r="G33" s="27"/>
      <c r="H33" s="16">
        <v>2500</v>
      </c>
      <c r="I33" s="18">
        <v>4000</v>
      </c>
      <c r="J33" s="19">
        <v>500</v>
      </c>
      <c r="K33" s="16">
        <v>6000</v>
      </c>
      <c r="L33" s="18">
        <v>6000</v>
      </c>
      <c r="M33" s="19">
        <v>500</v>
      </c>
      <c r="N33" s="16">
        <v>6000</v>
      </c>
      <c r="O33" s="18">
        <v>4000</v>
      </c>
      <c r="P33" s="19">
        <v>2500</v>
      </c>
      <c r="Q33" s="16">
        <v>7500</v>
      </c>
      <c r="R33" s="18">
        <v>4000</v>
      </c>
      <c r="S33" s="19">
        <v>6000</v>
      </c>
      <c r="T33" s="16">
        <v>2000</v>
      </c>
      <c r="U33" s="18">
        <v>4000</v>
      </c>
      <c r="V33" s="19">
        <v>4000</v>
      </c>
      <c r="W33" s="89">
        <v>5000</v>
      </c>
      <c r="X33" s="96">
        <v>3000</v>
      </c>
      <c r="Y33" s="19">
        <v>6000</v>
      </c>
      <c r="Z33" s="89">
        <v>2000</v>
      </c>
      <c r="AA33" s="96">
        <v>2000</v>
      </c>
      <c r="AB33" s="19">
        <v>6000</v>
      </c>
      <c r="AC33" s="89">
        <v>5000</v>
      </c>
      <c r="AD33" s="96"/>
      <c r="AE33" s="19">
        <v>11000</v>
      </c>
      <c r="AF33" s="89"/>
      <c r="AG33" s="96">
        <v>4000</v>
      </c>
      <c r="AH33" s="19">
        <v>7000</v>
      </c>
      <c r="AI33" s="89"/>
      <c r="AJ33" s="96">
        <v>2000</v>
      </c>
      <c r="AK33" s="19">
        <v>5000</v>
      </c>
      <c r="AL33" s="89">
        <v>7000</v>
      </c>
      <c r="AM33" s="96">
        <v>7000</v>
      </c>
      <c r="AN33" s="19">
        <v>5000</v>
      </c>
      <c r="AO33" s="89">
        <v>6000</v>
      </c>
      <c r="AP33" s="96">
        <v>8000</v>
      </c>
      <c r="AQ33" s="19">
        <v>3000</v>
      </c>
      <c r="AR33" s="89">
        <v>5000</v>
      </c>
      <c r="AS33" s="96">
        <v>4000</v>
      </c>
      <c r="AT33" s="19">
        <v>4000</v>
      </c>
      <c r="AU33" s="89">
        <v>7000</v>
      </c>
      <c r="AV33" s="96">
        <v>4000</v>
      </c>
      <c r="AW33" s="19">
        <v>7000</v>
      </c>
      <c r="AX33" s="89">
        <v>2000</v>
      </c>
      <c r="AY33" s="96">
        <v>4000</v>
      </c>
      <c r="AZ33" s="19">
        <v>5000</v>
      </c>
      <c r="BA33" s="89">
        <v>3000</v>
      </c>
      <c r="BB33" s="96">
        <v>4000</v>
      </c>
      <c r="BC33" s="19">
        <v>4000</v>
      </c>
      <c r="BD33" s="89">
        <v>4000</v>
      </c>
      <c r="BE33" s="96">
        <v>2000</v>
      </c>
      <c r="BF33" s="19">
        <v>6000</v>
      </c>
      <c r="BG33" s="89">
        <v>2000</v>
      </c>
      <c r="BH33" s="96"/>
      <c r="BI33" s="19">
        <v>8000</v>
      </c>
      <c r="BJ33" s="89"/>
      <c r="BK33" s="96">
        <v>4000</v>
      </c>
      <c r="BL33" s="19">
        <v>4000</v>
      </c>
      <c r="BM33" s="89"/>
      <c r="BN33" s="96">
        <v>1000</v>
      </c>
      <c r="BO33" s="19">
        <v>3000</v>
      </c>
      <c r="BP33" s="89">
        <v>14000</v>
      </c>
      <c r="BQ33" s="96"/>
      <c r="BR33" s="19"/>
      <c r="BS33" s="89"/>
      <c r="BT33" s="96"/>
      <c r="BU33" s="19"/>
      <c r="BV33" s="89"/>
      <c r="BW33" s="96"/>
      <c r="BX33" s="19"/>
    </row>
    <row r="34" spans="1:76" x14ac:dyDescent="0.45">
      <c r="A34" s="82">
        <v>19</v>
      </c>
      <c r="B34" s="77" t="s">
        <v>65</v>
      </c>
      <c r="C34" s="78" t="s">
        <v>91</v>
      </c>
      <c r="D34" s="66">
        <v>520</v>
      </c>
      <c r="E34" s="15"/>
      <c r="F34" s="14">
        <v>520</v>
      </c>
      <c r="G34" s="27"/>
      <c r="H34" s="16"/>
      <c r="I34" s="18"/>
      <c r="J34" s="19">
        <v>520</v>
      </c>
      <c r="K34" s="16"/>
      <c r="L34" s="18"/>
      <c r="M34" s="19">
        <v>520</v>
      </c>
      <c r="N34" s="16"/>
      <c r="O34" s="18"/>
      <c r="P34" s="19">
        <v>520</v>
      </c>
      <c r="Q34" s="16"/>
      <c r="R34" s="18">
        <v>520</v>
      </c>
      <c r="S34" s="19"/>
      <c r="T34" s="16">
        <v>1080</v>
      </c>
      <c r="U34" s="18">
        <v>280</v>
      </c>
      <c r="V34" s="19">
        <v>800</v>
      </c>
      <c r="W34" s="89"/>
      <c r="X34" s="96">
        <v>200</v>
      </c>
      <c r="Y34" s="19">
        <v>600</v>
      </c>
      <c r="Z34" s="89"/>
      <c r="AA34" s="96"/>
      <c r="AB34" s="19">
        <v>600</v>
      </c>
      <c r="AC34" s="89"/>
      <c r="AD34" s="96"/>
      <c r="AE34" s="19">
        <v>600</v>
      </c>
      <c r="AF34" s="89"/>
      <c r="AG34" s="96"/>
      <c r="AH34" s="19">
        <v>600</v>
      </c>
      <c r="AI34" s="89"/>
      <c r="AJ34" s="96"/>
      <c r="AK34" s="19">
        <v>600</v>
      </c>
      <c r="AL34" s="89"/>
      <c r="AM34" s="96"/>
      <c r="AN34" s="19">
        <v>600</v>
      </c>
      <c r="AO34" s="89"/>
      <c r="AP34" s="96">
        <v>400</v>
      </c>
      <c r="AQ34" s="19">
        <v>200</v>
      </c>
      <c r="AR34" s="89"/>
      <c r="AS34" s="96"/>
      <c r="AT34" s="19">
        <v>200</v>
      </c>
      <c r="AU34" s="89"/>
      <c r="AV34" s="96"/>
      <c r="AW34" s="19">
        <v>200</v>
      </c>
      <c r="AX34" s="89">
        <v>200</v>
      </c>
      <c r="AY34" s="96">
        <v>400</v>
      </c>
      <c r="AZ34" s="19"/>
      <c r="BA34" s="89">
        <v>600</v>
      </c>
      <c r="BB34" s="96"/>
      <c r="BC34" s="19">
        <v>600</v>
      </c>
      <c r="BD34" s="89"/>
      <c r="BE34" s="96"/>
      <c r="BF34" s="19">
        <v>600</v>
      </c>
      <c r="BG34" s="89"/>
      <c r="BH34" s="96">
        <v>600</v>
      </c>
      <c r="BI34" s="19"/>
      <c r="BJ34" s="89">
        <v>720</v>
      </c>
      <c r="BK34" s="96"/>
      <c r="BL34" s="19">
        <v>720</v>
      </c>
      <c r="BM34" s="89"/>
      <c r="BN34" s="96"/>
      <c r="BO34" s="19"/>
      <c r="BP34" s="89"/>
      <c r="BQ34" s="96"/>
      <c r="BR34" s="19"/>
      <c r="BS34" s="89"/>
      <c r="BT34" s="96"/>
      <c r="BU34" s="19"/>
      <c r="BV34" s="89"/>
      <c r="BW34" s="96"/>
      <c r="BX34" s="19"/>
    </row>
    <row r="35" spans="1:76" hidden="1" x14ac:dyDescent="0.45">
      <c r="A35" s="82">
        <v>21</v>
      </c>
      <c r="B35" s="75" t="s">
        <v>65</v>
      </c>
      <c r="C35" s="76" t="s">
        <v>92</v>
      </c>
      <c r="D35" s="66">
        <v>520</v>
      </c>
      <c r="E35" s="15"/>
      <c r="F35" s="14">
        <v>520</v>
      </c>
      <c r="G35" s="27"/>
      <c r="H35" s="16"/>
      <c r="I35" s="18"/>
      <c r="J35" s="19">
        <v>420</v>
      </c>
      <c r="K35" s="16"/>
      <c r="L35" s="18"/>
      <c r="M35" s="19">
        <v>420</v>
      </c>
      <c r="N35" s="16"/>
      <c r="O35" s="18"/>
      <c r="P35" s="19">
        <v>420</v>
      </c>
      <c r="Q35" s="16"/>
      <c r="R35" s="18"/>
      <c r="S35" s="19">
        <v>395</v>
      </c>
      <c r="T35" s="16"/>
      <c r="U35" s="18"/>
      <c r="V35" s="19">
        <v>395</v>
      </c>
      <c r="W35" s="89">
        <v>25</v>
      </c>
      <c r="X35" s="96">
        <v>50</v>
      </c>
      <c r="Y35" s="19">
        <v>370</v>
      </c>
      <c r="Z35" s="89"/>
      <c r="AA35" s="96">
        <v>100</v>
      </c>
      <c r="AB35" s="19">
        <v>270</v>
      </c>
      <c r="AC35" s="89"/>
      <c r="AD35" s="96">
        <v>70</v>
      </c>
      <c r="AE35" s="19">
        <v>200</v>
      </c>
      <c r="AF35" s="89"/>
      <c r="AG35" s="96"/>
      <c r="AH35" s="19">
        <v>200</v>
      </c>
      <c r="AI35" s="89"/>
      <c r="AJ35" s="96"/>
      <c r="AK35" s="19">
        <v>200</v>
      </c>
      <c r="AL35" s="89"/>
      <c r="AM35" s="96">
        <v>125</v>
      </c>
      <c r="AN35" s="19">
        <v>75</v>
      </c>
      <c r="AO35" s="89">
        <v>40</v>
      </c>
      <c r="AP35" s="96">
        <v>50</v>
      </c>
      <c r="AQ35" s="19">
        <v>65</v>
      </c>
      <c r="AR35" s="89">
        <v>200</v>
      </c>
      <c r="AS35" s="96">
        <v>250</v>
      </c>
      <c r="AT35" s="19">
        <v>15</v>
      </c>
      <c r="AU35" s="119">
        <v>5</v>
      </c>
      <c r="AV35" s="96">
        <v>20</v>
      </c>
      <c r="AW35" s="19"/>
      <c r="AX35" s="119"/>
      <c r="AY35" s="96"/>
      <c r="AZ35" s="19"/>
      <c r="BA35" s="119">
        <v>115</v>
      </c>
      <c r="BB35" s="96">
        <v>25</v>
      </c>
      <c r="BC35" s="19">
        <v>90</v>
      </c>
      <c r="BD35" s="114"/>
      <c r="BE35" s="96">
        <v>50</v>
      </c>
      <c r="BF35" s="19">
        <v>40</v>
      </c>
      <c r="BG35" s="114"/>
      <c r="BH35" s="96">
        <v>40</v>
      </c>
      <c r="BI35" s="19"/>
      <c r="BJ35" s="114"/>
      <c r="BK35" s="96"/>
      <c r="BL35" s="19"/>
      <c r="BM35" s="114"/>
      <c r="BN35" s="96"/>
      <c r="BO35" s="19"/>
      <c r="BP35" s="114"/>
      <c r="BQ35" s="96"/>
      <c r="BR35" s="19"/>
      <c r="BS35" s="114"/>
      <c r="BT35" s="96"/>
      <c r="BU35" s="19"/>
      <c r="BV35" s="114"/>
      <c r="BW35" s="96"/>
      <c r="BX35" s="19"/>
    </row>
    <row r="36" spans="1:76" x14ac:dyDescent="0.45">
      <c r="A36" s="82">
        <v>20</v>
      </c>
      <c r="B36" s="75" t="s">
        <v>65</v>
      </c>
      <c r="C36" s="76" t="s">
        <v>130</v>
      </c>
      <c r="D36" s="66"/>
      <c r="E36" s="15"/>
      <c r="F36" s="14"/>
      <c r="G36" s="27"/>
      <c r="H36" s="16"/>
      <c r="I36" s="18"/>
      <c r="J36" s="19"/>
      <c r="K36" s="16"/>
      <c r="L36" s="18"/>
      <c r="M36" s="19"/>
      <c r="N36" s="16"/>
      <c r="O36" s="18"/>
      <c r="P36" s="19"/>
      <c r="Q36" s="16"/>
      <c r="R36" s="18"/>
      <c r="S36" s="19"/>
      <c r="T36" s="16"/>
      <c r="U36" s="18"/>
      <c r="V36" s="19"/>
      <c r="W36" s="89"/>
      <c r="X36" s="96"/>
      <c r="Y36" s="19"/>
      <c r="Z36" s="89"/>
      <c r="AA36" s="96"/>
      <c r="AB36" s="19"/>
      <c r="AC36" s="89"/>
      <c r="AD36" s="96"/>
      <c r="AE36" s="19"/>
      <c r="AF36" s="89"/>
      <c r="AG36" s="96"/>
      <c r="AH36" s="19"/>
      <c r="AI36" s="89"/>
      <c r="AJ36" s="96"/>
      <c r="AK36" s="19"/>
      <c r="AL36" s="89"/>
      <c r="AM36" s="96"/>
      <c r="AN36" s="19"/>
      <c r="AO36" s="89"/>
      <c r="AP36" s="96"/>
      <c r="AQ36" s="19"/>
      <c r="AR36" s="89"/>
      <c r="AS36" s="100"/>
      <c r="AT36" s="19"/>
      <c r="AU36" s="89"/>
      <c r="AV36" s="96"/>
      <c r="AW36" s="19"/>
      <c r="AX36" s="89">
        <v>100</v>
      </c>
      <c r="AY36" s="96">
        <v>75</v>
      </c>
      <c r="AZ36" s="19">
        <v>25</v>
      </c>
      <c r="BA36" s="89">
        <v>120</v>
      </c>
      <c r="BB36" s="96">
        <v>50</v>
      </c>
      <c r="BC36" s="19">
        <v>95</v>
      </c>
      <c r="BD36" s="89"/>
      <c r="BE36" s="96"/>
      <c r="BF36" s="19">
        <v>95</v>
      </c>
      <c r="BG36" s="89">
        <v>375</v>
      </c>
      <c r="BH36" s="96">
        <v>40</v>
      </c>
      <c r="BI36" s="19">
        <v>430</v>
      </c>
      <c r="BJ36" s="89"/>
      <c r="BK36" s="96">
        <v>50</v>
      </c>
      <c r="BL36" s="19">
        <v>380</v>
      </c>
      <c r="BM36" s="89"/>
      <c r="BN36" s="96"/>
      <c r="BO36" s="19"/>
      <c r="BP36" s="89">
        <v>270</v>
      </c>
      <c r="BQ36" s="96" t="s">
        <v>136</v>
      </c>
      <c r="BR36" s="19"/>
      <c r="BS36" s="89">
        <v>100</v>
      </c>
      <c r="BT36" s="100" t="s">
        <v>137</v>
      </c>
      <c r="BU36" s="19"/>
      <c r="BV36" s="89">
        <v>100</v>
      </c>
      <c r="BW36" s="96" t="s">
        <v>141</v>
      </c>
      <c r="BX36" s="19"/>
    </row>
    <row r="37" spans="1:76" hidden="1" x14ac:dyDescent="0.45">
      <c r="A37" s="82">
        <v>23</v>
      </c>
      <c r="B37" s="77" t="s">
        <v>65</v>
      </c>
      <c r="C37" s="78" t="s">
        <v>93</v>
      </c>
      <c r="D37" s="66">
        <v>1987.5</v>
      </c>
      <c r="E37" s="15"/>
      <c r="F37" s="14">
        <v>1988</v>
      </c>
      <c r="G37" s="27"/>
      <c r="H37" s="16"/>
      <c r="I37" s="18"/>
      <c r="J37" s="19">
        <v>1987.5</v>
      </c>
      <c r="K37" s="16"/>
      <c r="L37" s="18"/>
      <c r="M37" s="19">
        <v>1987.5</v>
      </c>
      <c r="N37" s="16"/>
      <c r="O37" s="18"/>
      <c r="P37" s="19">
        <v>1987.5</v>
      </c>
      <c r="Q37" s="16"/>
      <c r="R37" s="18"/>
      <c r="S37" s="19">
        <v>1987.5</v>
      </c>
      <c r="T37" s="16"/>
      <c r="U37" s="18"/>
      <c r="V37" s="19">
        <v>1987.5</v>
      </c>
      <c r="W37" s="89"/>
      <c r="X37" s="100"/>
      <c r="Y37" s="19">
        <v>1987.5</v>
      </c>
      <c r="Z37" s="89"/>
      <c r="AA37" s="100"/>
      <c r="AB37" s="19">
        <v>1987.5</v>
      </c>
      <c r="AC37" s="89"/>
      <c r="AD37" s="100"/>
      <c r="AE37" s="19">
        <v>1487.5</v>
      </c>
      <c r="AF37" s="103"/>
      <c r="AG37" s="96">
        <v>750</v>
      </c>
      <c r="AH37" s="19">
        <v>737.5</v>
      </c>
      <c r="AI37" s="103"/>
      <c r="AJ37" s="96"/>
      <c r="AK37" s="19">
        <v>737.5</v>
      </c>
      <c r="AL37" s="103"/>
      <c r="AM37" s="96"/>
      <c r="AN37" s="19"/>
      <c r="AO37" s="103"/>
      <c r="AP37" s="96"/>
      <c r="AQ37" s="19"/>
      <c r="AR37" s="103"/>
      <c r="AS37" s="96"/>
      <c r="AT37" s="19"/>
      <c r="AU37" s="103"/>
      <c r="AV37" s="96"/>
      <c r="AW37" s="19"/>
      <c r="AX37" s="103"/>
      <c r="AY37" s="96"/>
      <c r="AZ37" s="19"/>
      <c r="BA37" s="103"/>
      <c r="BB37" s="96"/>
      <c r="BC37" s="19"/>
      <c r="BD37" s="103"/>
      <c r="BE37" s="96"/>
      <c r="BF37" s="19"/>
      <c r="BG37" s="103"/>
      <c r="BH37" s="96"/>
      <c r="BI37" s="19"/>
      <c r="BJ37" s="103"/>
      <c r="BK37" s="96"/>
      <c r="BL37" s="19"/>
      <c r="BM37" s="103"/>
      <c r="BN37" s="96"/>
      <c r="BO37" s="19"/>
      <c r="BP37" s="103"/>
      <c r="BQ37" s="96"/>
      <c r="BR37" s="19"/>
      <c r="BS37" s="103"/>
      <c r="BT37" s="96"/>
      <c r="BU37" s="19"/>
      <c r="BV37" s="103"/>
      <c r="BW37" s="96"/>
      <c r="BX37" s="19"/>
    </row>
    <row r="38" spans="1:76" x14ac:dyDescent="0.45">
      <c r="A38" s="82">
        <v>21</v>
      </c>
      <c r="B38" s="61" t="s">
        <v>65</v>
      </c>
      <c r="C38" s="71" t="s">
        <v>94</v>
      </c>
      <c r="D38" s="66">
        <v>1000</v>
      </c>
      <c r="E38" s="15"/>
      <c r="F38" s="14">
        <v>1000</v>
      </c>
      <c r="G38" s="27"/>
      <c r="H38" s="16">
        <v>1000</v>
      </c>
      <c r="I38" s="18">
        <v>2000</v>
      </c>
      <c r="J38" s="19"/>
      <c r="K38" s="16">
        <v>1000</v>
      </c>
      <c r="L38" s="18">
        <v>1000</v>
      </c>
      <c r="M38" s="19"/>
      <c r="N38" s="16">
        <v>3000</v>
      </c>
      <c r="O38" s="18">
        <v>2000</v>
      </c>
      <c r="P38" s="19">
        <v>1000</v>
      </c>
      <c r="Q38" s="16">
        <v>2000</v>
      </c>
      <c r="R38" s="18">
        <v>1000</v>
      </c>
      <c r="S38" s="19">
        <v>2000</v>
      </c>
      <c r="T38" s="16">
        <v>2000</v>
      </c>
      <c r="U38" s="18"/>
      <c r="V38" s="19">
        <v>4000</v>
      </c>
      <c r="W38" s="89"/>
      <c r="X38" s="96"/>
      <c r="Y38" s="19">
        <v>4000</v>
      </c>
      <c r="Z38" s="89"/>
      <c r="AA38" s="96">
        <v>2000</v>
      </c>
      <c r="AB38" s="19">
        <v>2000</v>
      </c>
      <c r="AC38" s="89"/>
      <c r="AD38" s="96">
        <v>1000</v>
      </c>
      <c r="AE38" s="19">
        <v>1000</v>
      </c>
      <c r="AF38" s="89">
        <v>1000</v>
      </c>
      <c r="AG38" s="96"/>
      <c r="AH38" s="19">
        <v>2000</v>
      </c>
      <c r="AI38" s="89">
        <v>2000</v>
      </c>
      <c r="AJ38" s="96"/>
      <c r="AK38" s="19">
        <v>2000</v>
      </c>
      <c r="AL38" s="89"/>
      <c r="AM38" s="96">
        <v>1000</v>
      </c>
      <c r="AN38" s="19">
        <v>1000</v>
      </c>
      <c r="AO38" s="89">
        <v>1000</v>
      </c>
      <c r="AP38" s="96">
        <v>1000</v>
      </c>
      <c r="AQ38" s="19">
        <v>1000</v>
      </c>
      <c r="AR38" s="89">
        <v>1000</v>
      </c>
      <c r="AS38" s="96">
        <v>1000</v>
      </c>
      <c r="AT38" s="19">
        <v>1000</v>
      </c>
      <c r="AU38" s="89">
        <v>2000</v>
      </c>
      <c r="AV38" s="96">
        <v>1000</v>
      </c>
      <c r="AW38" s="19">
        <v>2000</v>
      </c>
      <c r="AX38" s="89"/>
      <c r="AY38" s="96">
        <v>1000</v>
      </c>
      <c r="AZ38" s="19">
        <v>1000</v>
      </c>
      <c r="BA38" s="89">
        <v>2000</v>
      </c>
      <c r="BB38" s="96">
        <v>1000</v>
      </c>
      <c r="BC38" s="19">
        <v>2000</v>
      </c>
      <c r="BD38" s="89">
        <v>2000</v>
      </c>
      <c r="BE38" s="96">
        <v>1000</v>
      </c>
      <c r="BF38" s="19">
        <v>3000</v>
      </c>
      <c r="BG38" s="89">
        <v>1000</v>
      </c>
      <c r="BH38" s="96">
        <v>1000</v>
      </c>
      <c r="BI38" s="19">
        <v>3000</v>
      </c>
      <c r="BJ38" s="89">
        <v>1000</v>
      </c>
      <c r="BK38" s="96">
        <v>1000</v>
      </c>
      <c r="BL38" s="19">
        <v>3000</v>
      </c>
      <c r="BM38" s="89"/>
      <c r="BN38" s="96"/>
      <c r="BO38" s="19">
        <v>3000</v>
      </c>
      <c r="BP38" s="89"/>
      <c r="BQ38" s="96"/>
      <c r="BR38" s="19"/>
      <c r="BS38" s="89">
        <v>1000</v>
      </c>
      <c r="BT38" s="96"/>
      <c r="BU38" s="19"/>
      <c r="BV38" s="89"/>
      <c r="BW38" s="96"/>
      <c r="BX38" s="19"/>
    </row>
    <row r="39" spans="1:76" x14ac:dyDescent="0.45">
      <c r="A39" s="82">
        <v>22</v>
      </c>
      <c r="B39" s="61" t="s">
        <v>65</v>
      </c>
      <c r="C39" s="71" t="s">
        <v>95</v>
      </c>
      <c r="D39" s="66">
        <v>1000</v>
      </c>
      <c r="E39" s="15"/>
      <c r="F39" s="14">
        <v>1000</v>
      </c>
      <c r="G39" s="27"/>
      <c r="H39" s="16">
        <v>1000</v>
      </c>
      <c r="I39" s="18">
        <v>2000</v>
      </c>
      <c r="J39" s="19"/>
      <c r="K39" s="16">
        <v>1000</v>
      </c>
      <c r="L39" s="18">
        <v>1000</v>
      </c>
      <c r="M39" s="19"/>
      <c r="N39" s="16">
        <v>3000</v>
      </c>
      <c r="O39" s="18">
        <v>2000</v>
      </c>
      <c r="P39" s="19">
        <v>1000</v>
      </c>
      <c r="Q39" s="16">
        <v>2000</v>
      </c>
      <c r="R39" s="18">
        <v>1000</v>
      </c>
      <c r="S39" s="19">
        <v>2000</v>
      </c>
      <c r="T39" s="16">
        <v>2000</v>
      </c>
      <c r="U39" s="18">
        <v>2000</v>
      </c>
      <c r="V39" s="19">
        <v>2000</v>
      </c>
      <c r="W39" s="89"/>
      <c r="X39" s="96"/>
      <c r="Y39" s="19">
        <v>2000</v>
      </c>
      <c r="Z39" s="89">
        <v>2000</v>
      </c>
      <c r="AA39" s="96">
        <v>1000</v>
      </c>
      <c r="AB39" s="19">
        <v>3000</v>
      </c>
      <c r="AC39" s="89"/>
      <c r="AD39" s="96">
        <v>1000</v>
      </c>
      <c r="AE39" s="19">
        <v>2000</v>
      </c>
      <c r="AF39" s="89"/>
      <c r="AG39" s="96"/>
      <c r="AH39" s="19">
        <v>2000</v>
      </c>
      <c r="AI39" s="89">
        <v>3000</v>
      </c>
      <c r="AJ39" s="96">
        <v>1000</v>
      </c>
      <c r="AK39" s="19">
        <v>1000</v>
      </c>
      <c r="AL39" s="89">
        <v>1000</v>
      </c>
      <c r="AM39" s="96">
        <v>1000</v>
      </c>
      <c r="AN39" s="19">
        <v>1000</v>
      </c>
      <c r="AO39" s="89">
        <v>1000</v>
      </c>
      <c r="AP39" s="96">
        <v>1000</v>
      </c>
      <c r="AQ39" s="19">
        <v>1000</v>
      </c>
      <c r="AR39" s="89">
        <v>1000</v>
      </c>
      <c r="AS39" s="96">
        <v>1000</v>
      </c>
      <c r="AT39" s="19">
        <v>1000</v>
      </c>
      <c r="AU39" s="89">
        <v>3000</v>
      </c>
      <c r="AV39" s="96">
        <v>3000</v>
      </c>
      <c r="AW39" s="19">
        <v>1000</v>
      </c>
      <c r="AX39" s="89">
        <v>2000</v>
      </c>
      <c r="AY39" s="96">
        <v>2000</v>
      </c>
      <c r="AZ39" s="19">
        <v>1000</v>
      </c>
      <c r="BA39" s="89">
        <v>2000</v>
      </c>
      <c r="BB39" s="96">
        <v>1000</v>
      </c>
      <c r="BC39" s="19">
        <v>2000</v>
      </c>
      <c r="BD39" s="89">
        <v>2000</v>
      </c>
      <c r="BE39" s="96">
        <v>1000</v>
      </c>
      <c r="BF39" s="19">
        <v>3000</v>
      </c>
      <c r="BG39" s="89">
        <v>1000</v>
      </c>
      <c r="BH39" s="96"/>
      <c r="BI39" s="19">
        <v>4000</v>
      </c>
      <c r="BJ39" s="89"/>
      <c r="BK39" s="96">
        <v>2000</v>
      </c>
      <c r="BL39" s="19">
        <v>2000</v>
      </c>
      <c r="BM39" s="89"/>
      <c r="BN39" s="96"/>
      <c r="BO39" s="19">
        <v>2000</v>
      </c>
      <c r="BP39" s="89"/>
      <c r="BQ39" s="96"/>
      <c r="BR39" s="19"/>
      <c r="BS39" s="89">
        <v>6000</v>
      </c>
      <c r="BT39" s="96"/>
      <c r="BU39" s="19"/>
      <c r="BV39" s="89"/>
      <c r="BW39" s="96"/>
      <c r="BX39" s="19"/>
    </row>
    <row r="40" spans="1:76" x14ac:dyDescent="0.45">
      <c r="A40" s="238">
        <v>23</v>
      </c>
      <c r="B40" s="245" t="s">
        <v>65</v>
      </c>
      <c r="C40" s="246" t="s">
        <v>96</v>
      </c>
      <c r="D40" s="66">
        <v>3500</v>
      </c>
      <c r="E40" s="15"/>
      <c r="F40" s="14">
        <v>3500</v>
      </c>
      <c r="G40" s="27" t="s">
        <v>57</v>
      </c>
      <c r="H40" s="247">
        <v>3000</v>
      </c>
      <c r="I40" s="18">
        <v>1250</v>
      </c>
      <c r="J40" s="248">
        <v>5250</v>
      </c>
      <c r="K40" s="247">
        <v>1500</v>
      </c>
      <c r="L40" s="18">
        <v>375</v>
      </c>
      <c r="M40" s="248">
        <v>5625</v>
      </c>
      <c r="N40" s="247"/>
      <c r="O40" s="18">
        <v>1875</v>
      </c>
      <c r="P40" s="248">
        <v>3000</v>
      </c>
      <c r="Q40" s="247"/>
      <c r="R40" s="18">
        <v>650</v>
      </c>
      <c r="S40" s="248">
        <v>2350</v>
      </c>
      <c r="T40" s="247">
        <v>1500</v>
      </c>
      <c r="U40" s="18">
        <v>1900</v>
      </c>
      <c r="V40" s="248">
        <v>1200</v>
      </c>
      <c r="W40" s="249">
        <v>3000</v>
      </c>
      <c r="X40" s="96">
        <v>450</v>
      </c>
      <c r="Y40" s="248">
        <v>3000</v>
      </c>
      <c r="Z40" s="249">
        <v>3000</v>
      </c>
      <c r="AA40" s="96">
        <v>300</v>
      </c>
      <c r="AB40" s="248">
        <v>5700</v>
      </c>
      <c r="AC40" s="249">
        <v>3000</v>
      </c>
      <c r="AD40" s="96">
        <v>3200</v>
      </c>
      <c r="AE40" s="248">
        <v>5500</v>
      </c>
      <c r="AF40" s="249"/>
      <c r="AG40" s="96">
        <v>750</v>
      </c>
      <c r="AH40" s="248">
        <v>4000</v>
      </c>
      <c r="AI40" s="249"/>
      <c r="AJ40" s="96">
        <v>750</v>
      </c>
      <c r="AK40" s="248">
        <v>3250</v>
      </c>
      <c r="AL40" s="249">
        <v>1500</v>
      </c>
      <c r="AM40" s="96"/>
      <c r="AN40" s="248">
        <v>4000</v>
      </c>
      <c r="AO40" s="249">
        <v>1500</v>
      </c>
      <c r="AP40" s="96">
        <v>750</v>
      </c>
      <c r="AQ40" s="248">
        <v>4000</v>
      </c>
      <c r="AR40" s="249">
        <v>1500</v>
      </c>
      <c r="AS40" s="96">
        <v>750</v>
      </c>
      <c r="AT40" s="248">
        <v>750</v>
      </c>
      <c r="AU40" s="249">
        <v>750</v>
      </c>
      <c r="AV40" s="96">
        <v>1500</v>
      </c>
      <c r="AW40" s="248">
        <v>4000</v>
      </c>
      <c r="AX40" s="249"/>
      <c r="AY40" s="96">
        <v>750</v>
      </c>
      <c r="AZ40" s="248">
        <v>2500</v>
      </c>
      <c r="BA40" s="249">
        <v>750</v>
      </c>
      <c r="BB40" s="96">
        <v>2250</v>
      </c>
      <c r="BC40" s="248">
        <v>1000</v>
      </c>
      <c r="BD40" s="249">
        <v>750</v>
      </c>
      <c r="BE40" s="96"/>
      <c r="BF40" s="248">
        <v>1750</v>
      </c>
      <c r="BG40" s="249">
        <v>2250</v>
      </c>
      <c r="BH40" s="96">
        <v>2250</v>
      </c>
      <c r="BI40" s="248">
        <v>1000</v>
      </c>
      <c r="BJ40" s="249">
        <v>2250</v>
      </c>
      <c r="BK40" s="96"/>
      <c r="BL40" s="248">
        <v>2500</v>
      </c>
      <c r="BM40" s="249">
        <v>750</v>
      </c>
      <c r="BN40" s="96">
        <v>2250</v>
      </c>
      <c r="BO40" s="248">
        <v>250</v>
      </c>
      <c r="BP40" s="249">
        <v>2250</v>
      </c>
      <c r="BQ40" s="96"/>
      <c r="BR40" s="248"/>
      <c r="BS40" s="249"/>
      <c r="BT40" s="96"/>
      <c r="BU40" s="248"/>
      <c r="BV40" s="249">
        <v>3750</v>
      </c>
      <c r="BW40" s="96"/>
      <c r="BX40" s="248"/>
    </row>
    <row r="41" spans="1:76" ht="18" thickBot="1" x14ac:dyDescent="0.5">
      <c r="A41" s="231"/>
      <c r="B41" s="263"/>
      <c r="C41" s="264"/>
      <c r="D41" s="69"/>
      <c r="E41" s="49"/>
      <c r="F41" s="48"/>
      <c r="G41" s="50" t="s">
        <v>58</v>
      </c>
      <c r="H41" s="260"/>
      <c r="I41" s="51"/>
      <c r="J41" s="265"/>
      <c r="K41" s="260"/>
      <c r="L41" s="51">
        <v>750</v>
      </c>
      <c r="M41" s="261"/>
      <c r="N41" s="260"/>
      <c r="O41" s="51">
        <v>750</v>
      </c>
      <c r="P41" s="261"/>
      <c r="Q41" s="260"/>
      <c r="R41" s="51"/>
      <c r="S41" s="261"/>
      <c r="T41" s="260"/>
      <c r="U41" s="51">
        <v>750</v>
      </c>
      <c r="V41" s="261"/>
      <c r="W41" s="262"/>
      <c r="X41" s="101">
        <v>750</v>
      </c>
      <c r="Y41" s="261"/>
      <c r="Z41" s="262"/>
      <c r="AA41" s="101"/>
      <c r="AB41" s="261"/>
      <c r="AC41" s="262"/>
      <c r="AD41" s="101"/>
      <c r="AE41" s="261"/>
      <c r="AF41" s="262"/>
      <c r="AG41" s="101">
        <v>750</v>
      </c>
      <c r="AH41" s="261"/>
      <c r="AI41" s="262"/>
      <c r="AJ41" s="101"/>
      <c r="AK41" s="261"/>
      <c r="AL41" s="262"/>
      <c r="AM41" s="101">
        <v>750</v>
      </c>
      <c r="AN41" s="261"/>
      <c r="AO41" s="262"/>
      <c r="AP41" s="101">
        <v>750</v>
      </c>
      <c r="AQ41" s="261"/>
      <c r="AR41" s="262"/>
      <c r="AS41" s="101"/>
      <c r="AT41" s="261"/>
      <c r="AU41" s="262"/>
      <c r="AV41" s="101"/>
      <c r="AW41" s="261"/>
      <c r="AX41" s="262"/>
      <c r="AY41" s="101">
        <v>750</v>
      </c>
      <c r="AZ41" s="261"/>
      <c r="BA41" s="262"/>
      <c r="BB41" s="101"/>
      <c r="BC41" s="261"/>
      <c r="BD41" s="262"/>
      <c r="BE41" s="101"/>
      <c r="BF41" s="261"/>
      <c r="BG41" s="262"/>
      <c r="BH41" s="101">
        <v>750</v>
      </c>
      <c r="BI41" s="261"/>
      <c r="BJ41" s="262"/>
      <c r="BK41" s="101">
        <v>750</v>
      </c>
      <c r="BL41" s="261"/>
      <c r="BM41" s="262"/>
      <c r="BN41" s="101">
        <v>750</v>
      </c>
      <c r="BO41" s="261"/>
      <c r="BP41" s="262"/>
      <c r="BQ41" s="101"/>
      <c r="BR41" s="261"/>
      <c r="BS41" s="262"/>
      <c r="BT41" s="101"/>
      <c r="BU41" s="261"/>
      <c r="BV41" s="262"/>
      <c r="BW41" s="101"/>
      <c r="BX41" s="261"/>
    </row>
    <row r="42" spans="1:76" x14ac:dyDescent="0.45">
      <c r="A42" s="82">
        <v>24</v>
      </c>
      <c r="B42" s="116" t="s">
        <v>66</v>
      </c>
      <c r="C42" s="117" t="s">
        <v>97</v>
      </c>
      <c r="D42" s="65">
        <v>120</v>
      </c>
      <c r="E42" s="45"/>
      <c r="F42" s="44">
        <v>120</v>
      </c>
      <c r="G42" s="46"/>
      <c r="H42" s="52">
        <v>280</v>
      </c>
      <c r="I42" s="47"/>
      <c r="J42" s="53">
        <v>400</v>
      </c>
      <c r="K42" s="52"/>
      <c r="L42" s="47">
        <v>160</v>
      </c>
      <c r="M42" s="53">
        <v>200</v>
      </c>
      <c r="N42" s="52">
        <v>840</v>
      </c>
      <c r="O42" s="47">
        <v>60</v>
      </c>
      <c r="P42" s="53">
        <v>980</v>
      </c>
      <c r="Q42" s="52"/>
      <c r="R42" s="47">
        <v>240</v>
      </c>
      <c r="S42" s="53">
        <v>740</v>
      </c>
      <c r="T42" s="52"/>
      <c r="U42" s="47">
        <v>220</v>
      </c>
      <c r="V42" s="53">
        <v>520</v>
      </c>
      <c r="W42" s="93">
        <v>300</v>
      </c>
      <c r="X42" s="95"/>
      <c r="Y42" s="53">
        <v>820</v>
      </c>
      <c r="Z42" s="93"/>
      <c r="AA42" s="95"/>
      <c r="AB42" s="53">
        <v>820</v>
      </c>
      <c r="AC42" s="93">
        <v>560</v>
      </c>
      <c r="AD42" s="95">
        <v>40</v>
      </c>
      <c r="AE42" s="53">
        <v>1380</v>
      </c>
      <c r="AF42" s="93"/>
      <c r="AG42" s="95">
        <v>100</v>
      </c>
      <c r="AH42" s="53">
        <v>1280</v>
      </c>
      <c r="AI42" s="93"/>
      <c r="AJ42" s="95"/>
      <c r="AK42" s="53">
        <v>1280</v>
      </c>
      <c r="AL42" s="93"/>
      <c r="AM42" s="95"/>
      <c r="AN42" s="53">
        <v>1280</v>
      </c>
      <c r="AO42" s="93"/>
      <c r="AP42" s="95"/>
      <c r="AQ42" s="53">
        <v>1280</v>
      </c>
      <c r="AR42" s="118" t="s">
        <v>124</v>
      </c>
      <c r="AS42" s="95">
        <v>60</v>
      </c>
      <c r="AT42" s="53">
        <v>1220</v>
      </c>
      <c r="AU42" s="118" t="s">
        <v>124</v>
      </c>
      <c r="AV42" s="95">
        <v>280</v>
      </c>
      <c r="AW42" s="53">
        <v>940</v>
      </c>
      <c r="AX42" s="115"/>
      <c r="AY42" s="95"/>
      <c r="AZ42" s="53">
        <v>920</v>
      </c>
      <c r="BA42" s="115"/>
      <c r="BB42" s="95">
        <v>300</v>
      </c>
      <c r="BC42" s="53">
        <v>620</v>
      </c>
      <c r="BD42" s="115"/>
      <c r="BE42" s="95"/>
      <c r="BF42" s="53">
        <v>620</v>
      </c>
      <c r="BG42" s="115"/>
      <c r="BH42" s="95">
        <v>280</v>
      </c>
      <c r="BI42" s="53">
        <v>340</v>
      </c>
      <c r="BJ42" s="115"/>
      <c r="BK42" s="95"/>
      <c r="BL42" s="53">
        <v>320</v>
      </c>
      <c r="BM42" s="115"/>
      <c r="BN42" s="95"/>
      <c r="BO42" s="53">
        <v>60</v>
      </c>
      <c r="BP42" s="115"/>
      <c r="BQ42" s="95"/>
      <c r="BR42" s="53"/>
      <c r="BS42" s="115"/>
      <c r="BT42" s="95"/>
      <c r="BU42" s="53"/>
      <c r="BV42" s="115"/>
      <c r="BW42" s="95"/>
      <c r="BX42" s="53"/>
    </row>
    <row r="43" spans="1:76" x14ac:dyDescent="0.45">
      <c r="A43" s="82">
        <v>25</v>
      </c>
      <c r="B43" s="85" t="s">
        <v>66</v>
      </c>
      <c r="C43" s="86" t="s">
        <v>98</v>
      </c>
      <c r="D43" s="66">
        <v>1000</v>
      </c>
      <c r="E43" s="15"/>
      <c r="F43" s="14">
        <v>1000</v>
      </c>
      <c r="G43" s="27"/>
      <c r="H43" s="16">
        <v>560</v>
      </c>
      <c r="I43" s="18">
        <v>200</v>
      </c>
      <c r="J43" s="19">
        <v>1360</v>
      </c>
      <c r="K43" s="16"/>
      <c r="L43" s="18">
        <v>200</v>
      </c>
      <c r="M43" s="19">
        <v>1160</v>
      </c>
      <c r="N43" s="16"/>
      <c r="O43" s="18">
        <v>120</v>
      </c>
      <c r="P43" s="19">
        <v>1040</v>
      </c>
      <c r="Q43" s="16"/>
      <c r="R43" s="18">
        <v>200</v>
      </c>
      <c r="S43" s="19">
        <v>840</v>
      </c>
      <c r="T43" s="16"/>
      <c r="U43" s="18"/>
      <c r="V43" s="19">
        <v>840</v>
      </c>
      <c r="W43" s="89"/>
      <c r="X43" s="96">
        <v>40</v>
      </c>
      <c r="Y43" s="19">
        <v>800</v>
      </c>
      <c r="Z43" s="89"/>
      <c r="AA43" s="96">
        <v>40</v>
      </c>
      <c r="AB43" s="19">
        <v>760</v>
      </c>
      <c r="AC43" s="89"/>
      <c r="AD43" s="96"/>
      <c r="AE43" s="19">
        <v>720</v>
      </c>
      <c r="AF43" s="89">
        <v>1120</v>
      </c>
      <c r="AG43" s="96">
        <v>460</v>
      </c>
      <c r="AH43" s="19">
        <v>1380</v>
      </c>
      <c r="AI43" s="89">
        <v>780</v>
      </c>
      <c r="AJ43" s="96">
        <v>800</v>
      </c>
      <c r="AK43" s="19">
        <v>1360</v>
      </c>
      <c r="AL43" s="89"/>
      <c r="AM43" s="96">
        <v>200</v>
      </c>
      <c r="AN43" s="19">
        <v>1140</v>
      </c>
      <c r="AO43" s="89"/>
      <c r="AP43" s="96"/>
      <c r="AQ43" s="19">
        <v>1140</v>
      </c>
      <c r="AR43" s="114"/>
      <c r="AS43" s="96"/>
      <c r="AT43" s="19">
        <v>1140</v>
      </c>
      <c r="AU43" s="114"/>
      <c r="AV43" s="96"/>
      <c r="AW43" s="19">
        <v>1140</v>
      </c>
      <c r="AX43" s="114"/>
      <c r="AY43" s="96"/>
      <c r="AZ43" s="19">
        <v>1140</v>
      </c>
      <c r="BA43" s="114"/>
      <c r="BB43" s="96">
        <v>500</v>
      </c>
      <c r="BC43" s="19">
        <v>640</v>
      </c>
      <c r="BD43" s="114"/>
      <c r="BE43" s="96"/>
      <c r="BF43" s="19">
        <v>640</v>
      </c>
      <c r="BG43" s="114"/>
      <c r="BH43" s="96"/>
      <c r="BI43" s="19">
        <v>640</v>
      </c>
      <c r="BJ43" s="114"/>
      <c r="BK43" s="96"/>
      <c r="BL43" s="19">
        <v>640</v>
      </c>
      <c r="BM43" s="114"/>
      <c r="BN43" s="96"/>
      <c r="BO43" s="19">
        <v>640</v>
      </c>
      <c r="BP43" s="114"/>
      <c r="BQ43" s="96"/>
      <c r="BR43" s="19"/>
      <c r="BS43" s="114"/>
      <c r="BT43" s="96"/>
      <c r="BU43" s="19"/>
      <c r="BV43" s="114"/>
      <c r="BW43" s="96"/>
      <c r="BX43" s="19"/>
    </row>
    <row r="44" spans="1:76" hidden="1" x14ac:dyDescent="0.45">
      <c r="A44" s="82">
        <v>29</v>
      </c>
      <c r="B44" s="77" t="s">
        <v>66</v>
      </c>
      <c r="C44" s="78" t="s">
        <v>99</v>
      </c>
      <c r="D44" s="66">
        <v>280</v>
      </c>
      <c r="E44" s="15"/>
      <c r="F44" s="14">
        <v>280</v>
      </c>
      <c r="G44" s="27"/>
      <c r="H44" s="16"/>
      <c r="I44" s="18"/>
      <c r="J44" s="19">
        <v>280</v>
      </c>
      <c r="K44" s="16"/>
      <c r="L44" s="18"/>
      <c r="M44" s="19">
        <v>280</v>
      </c>
      <c r="N44" s="16"/>
      <c r="O44" s="18">
        <v>20</v>
      </c>
      <c r="P44" s="19">
        <v>260</v>
      </c>
      <c r="Q44" s="16"/>
      <c r="R44" s="18">
        <v>40</v>
      </c>
      <c r="S44" s="19">
        <v>220</v>
      </c>
      <c r="T44" s="16"/>
      <c r="U44" s="18"/>
      <c r="V44" s="19">
        <v>220</v>
      </c>
      <c r="W44" s="89"/>
      <c r="X44" s="96"/>
      <c r="Y44" s="19">
        <v>220</v>
      </c>
      <c r="Z44" s="89"/>
      <c r="AA44" s="96"/>
      <c r="AB44" s="19">
        <v>220</v>
      </c>
      <c r="AC44" s="89"/>
      <c r="AD44" s="96"/>
      <c r="AE44" s="19">
        <v>220</v>
      </c>
      <c r="AF44" s="89"/>
      <c r="AG44" s="96">
        <v>120</v>
      </c>
      <c r="AH44" s="19">
        <v>100</v>
      </c>
      <c r="AI44" s="89"/>
      <c r="AJ44" s="96"/>
      <c r="AK44" s="19">
        <v>100</v>
      </c>
      <c r="AL44" s="89"/>
      <c r="AM44" s="96"/>
      <c r="AN44" s="19">
        <v>100</v>
      </c>
      <c r="AO44" s="89"/>
      <c r="AP44" s="96"/>
      <c r="AQ44" s="19">
        <v>100</v>
      </c>
      <c r="AR44" s="114"/>
      <c r="AS44" s="96"/>
      <c r="AT44" s="19">
        <v>100</v>
      </c>
      <c r="AU44" s="114"/>
      <c r="AV44" s="96"/>
      <c r="AW44" s="19">
        <v>100</v>
      </c>
      <c r="AX44" s="114"/>
      <c r="AY44" s="96">
        <v>20</v>
      </c>
      <c r="AZ44" s="19">
        <v>80</v>
      </c>
      <c r="BA44" s="114"/>
      <c r="BB44" s="96"/>
      <c r="BC44" s="19">
        <v>20</v>
      </c>
      <c r="BD44" s="119">
        <v>20</v>
      </c>
      <c r="BE44" s="96">
        <v>40</v>
      </c>
      <c r="BF44" s="19"/>
      <c r="BG44" s="119">
        <v>40</v>
      </c>
      <c r="BH44" s="96">
        <v>40</v>
      </c>
      <c r="BI44" s="19"/>
      <c r="BJ44" s="114"/>
      <c r="BK44" s="96"/>
      <c r="BL44" s="19"/>
      <c r="BM44" s="114"/>
      <c r="BN44" s="96">
        <v>20</v>
      </c>
      <c r="BO44" s="19"/>
      <c r="BP44" s="114"/>
      <c r="BQ44" s="96"/>
      <c r="BR44" s="19"/>
      <c r="BS44" s="114"/>
      <c r="BT44" s="96"/>
      <c r="BU44" s="19"/>
      <c r="BV44" s="114"/>
      <c r="BW44" s="96"/>
      <c r="BX44" s="19"/>
    </row>
    <row r="45" spans="1:76" x14ac:dyDescent="0.45">
      <c r="A45" s="82">
        <v>26</v>
      </c>
      <c r="B45" s="85" t="s">
        <v>66</v>
      </c>
      <c r="C45" s="86" t="s">
        <v>100</v>
      </c>
      <c r="D45" s="66">
        <v>320</v>
      </c>
      <c r="E45" s="15"/>
      <c r="F45" s="14">
        <v>320</v>
      </c>
      <c r="G45" s="27"/>
      <c r="H45" s="16"/>
      <c r="I45" s="18">
        <v>60</v>
      </c>
      <c r="J45" s="19">
        <v>260</v>
      </c>
      <c r="K45" s="16"/>
      <c r="L45" s="18">
        <v>20</v>
      </c>
      <c r="M45" s="19">
        <v>240</v>
      </c>
      <c r="N45" s="16"/>
      <c r="O45" s="18">
        <v>40</v>
      </c>
      <c r="P45" s="19">
        <v>200</v>
      </c>
      <c r="Q45" s="16"/>
      <c r="R45" s="18">
        <v>100</v>
      </c>
      <c r="S45" s="19">
        <v>100</v>
      </c>
      <c r="T45" s="16"/>
      <c r="U45" s="18"/>
      <c r="V45" s="19">
        <v>100</v>
      </c>
      <c r="W45" s="89">
        <v>140</v>
      </c>
      <c r="X45" s="96"/>
      <c r="Y45" s="19">
        <v>240</v>
      </c>
      <c r="Z45" s="89"/>
      <c r="AA45" s="96"/>
      <c r="AB45" s="19">
        <v>240</v>
      </c>
      <c r="AC45" s="89">
        <v>160</v>
      </c>
      <c r="AD45" s="96"/>
      <c r="AE45" s="19">
        <v>400</v>
      </c>
      <c r="AF45" s="89"/>
      <c r="AG45" s="96">
        <v>80</v>
      </c>
      <c r="AH45" s="19">
        <v>320</v>
      </c>
      <c r="AI45" s="89"/>
      <c r="AJ45" s="96"/>
      <c r="AK45" s="19">
        <v>320</v>
      </c>
      <c r="AL45" s="89"/>
      <c r="AM45" s="96"/>
      <c r="AN45" s="19">
        <v>320</v>
      </c>
      <c r="AO45" s="89"/>
      <c r="AP45" s="96"/>
      <c r="AQ45" s="19">
        <v>320</v>
      </c>
      <c r="AR45" s="114"/>
      <c r="AS45" s="96"/>
      <c r="AT45" s="19">
        <v>320</v>
      </c>
      <c r="AU45" s="114"/>
      <c r="AV45" s="96"/>
      <c r="AW45" s="19">
        <v>320</v>
      </c>
      <c r="AX45" s="114"/>
      <c r="AY45" s="96"/>
      <c r="AZ45" s="19">
        <v>320</v>
      </c>
      <c r="BA45" s="114"/>
      <c r="BB45" s="96"/>
      <c r="BC45" s="19">
        <v>320</v>
      </c>
      <c r="BD45" s="114"/>
      <c r="BE45" s="96"/>
      <c r="BF45" s="19">
        <v>320</v>
      </c>
      <c r="BG45" s="114"/>
      <c r="BH45" s="96"/>
      <c r="BI45" s="19">
        <v>320</v>
      </c>
      <c r="BJ45" s="114"/>
      <c r="BK45" s="96"/>
      <c r="BL45" s="19">
        <v>320</v>
      </c>
      <c r="BM45" s="114"/>
      <c r="BN45" s="96"/>
      <c r="BO45" s="19">
        <v>320</v>
      </c>
      <c r="BP45" s="114"/>
      <c r="BQ45" s="96"/>
      <c r="BR45" s="19"/>
      <c r="BS45" s="114"/>
      <c r="BT45" s="96"/>
      <c r="BU45" s="19"/>
      <c r="BV45" s="114"/>
      <c r="BW45" s="96"/>
      <c r="BX45" s="19"/>
    </row>
    <row r="46" spans="1:76" x14ac:dyDescent="0.45">
      <c r="A46" s="238">
        <v>27</v>
      </c>
      <c r="B46" s="245" t="s">
        <v>66</v>
      </c>
      <c r="C46" s="246" t="s">
        <v>101</v>
      </c>
      <c r="D46" s="66">
        <v>2120</v>
      </c>
      <c r="E46" s="15"/>
      <c r="F46" s="14">
        <v>2120</v>
      </c>
      <c r="G46" s="27" t="s">
        <v>57</v>
      </c>
      <c r="H46" s="247">
        <v>1120</v>
      </c>
      <c r="I46" s="18">
        <v>340</v>
      </c>
      <c r="J46" s="248">
        <v>2700</v>
      </c>
      <c r="K46" s="247"/>
      <c r="L46" s="18">
        <v>200</v>
      </c>
      <c r="M46" s="248">
        <v>2140</v>
      </c>
      <c r="N46" s="247"/>
      <c r="O46" s="18"/>
      <c r="P46" s="248">
        <v>1800</v>
      </c>
      <c r="Q46" s="247">
        <v>1000</v>
      </c>
      <c r="R46" s="18">
        <v>540</v>
      </c>
      <c r="S46" s="248">
        <v>1940</v>
      </c>
      <c r="T46" s="247"/>
      <c r="U46" s="18">
        <v>500</v>
      </c>
      <c r="V46" s="248">
        <v>1040</v>
      </c>
      <c r="W46" s="249"/>
      <c r="X46" s="96">
        <v>180</v>
      </c>
      <c r="Y46" s="248">
        <v>840</v>
      </c>
      <c r="Z46" s="249">
        <v>1120</v>
      </c>
      <c r="AA46" s="96">
        <v>300</v>
      </c>
      <c r="AB46" s="248">
        <v>1400</v>
      </c>
      <c r="AC46" s="249">
        <v>1120</v>
      </c>
      <c r="AD46" s="96">
        <v>180</v>
      </c>
      <c r="AE46" s="248">
        <v>1940</v>
      </c>
      <c r="AF46" s="249">
        <v>1120</v>
      </c>
      <c r="AG46" s="96">
        <v>300</v>
      </c>
      <c r="AH46" s="248">
        <v>2320</v>
      </c>
      <c r="AI46" s="249"/>
      <c r="AJ46" s="96">
        <v>220</v>
      </c>
      <c r="AK46" s="248">
        <v>2000</v>
      </c>
      <c r="AL46" s="249"/>
      <c r="AM46" s="96">
        <v>300</v>
      </c>
      <c r="AN46" s="248">
        <v>1200</v>
      </c>
      <c r="AO46" s="249">
        <v>2000</v>
      </c>
      <c r="AP46" s="96">
        <v>500</v>
      </c>
      <c r="AQ46" s="248">
        <v>2500</v>
      </c>
      <c r="AR46" s="249"/>
      <c r="AS46" s="96">
        <v>200</v>
      </c>
      <c r="AT46" s="248">
        <v>2100</v>
      </c>
      <c r="AU46" s="249">
        <v>280</v>
      </c>
      <c r="AV46" s="96">
        <v>540</v>
      </c>
      <c r="AW46" s="248">
        <v>1360</v>
      </c>
      <c r="AX46" s="249">
        <v>1120</v>
      </c>
      <c r="AY46" s="96">
        <v>460</v>
      </c>
      <c r="AZ46" s="248">
        <v>1380</v>
      </c>
      <c r="BA46" s="249">
        <v>1120</v>
      </c>
      <c r="BB46" s="96">
        <v>400</v>
      </c>
      <c r="BC46" s="248">
        <v>1900</v>
      </c>
      <c r="BD46" s="249"/>
      <c r="BE46" s="96">
        <v>560</v>
      </c>
      <c r="BF46" s="248">
        <v>1080</v>
      </c>
      <c r="BG46" s="249">
        <v>840</v>
      </c>
      <c r="BH46" s="96">
        <v>340</v>
      </c>
      <c r="BI46" s="248">
        <v>1120</v>
      </c>
      <c r="BJ46" s="249">
        <v>1120</v>
      </c>
      <c r="BK46" s="96">
        <v>900</v>
      </c>
      <c r="BL46" s="248">
        <v>1000</v>
      </c>
      <c r="BM46" s="249"/>
      <c r="BN46" s="96"/>
      <c r="BO46" s="248">
        <v>540</v>
      </c>
      <c r="BP46" s="249">
        <v>1680</v>
      </c>
      <c r="BQ46" s="96"/>
      <c r="BR46" s="248"/>
      <c r="BS46" s="249">
        <v>1120</v>
      </c>
      <c r="BT46" s="96"/>
      <c r="BU46" s="248"/>
      <c r="BV46" s="249">
        <v>560</v>
      </c>
      <c r="BW46" s="96"/>
      <c r="BX46" s="248"/>
    </row>
    <row r="47" spans="1:76" x14ac:dyDescent="0.45">
      <c r="A47" s="231"/>
      <c r="B47" s="233"/>
      <c r="C47" s="235"/>
      <c r="D47" s="66"/>
      <c r="E47" s="15"/>
      <c r="F47" s="14"/>
      <c r="G47" s="27" t="s">
        <v>58</v>
      </c>
      <c r="H47" s="237"/>
      <c r="I47" s="18">
        <v>200</v>
      </c>
      <c r="J47" s="229"/>
      <c r="K47" s="237"/>
      <c r="L47" s="18">
        <v>360</v>
      </c>
      <c r="M47" s="229"/>
      <c r="N47" s="237"/>
      <c r="O47" s="18">
        <v>340</v>
      </c>
      <c r="P47" s="229"/>
      <c r="Q47" s="237"/>
      <c r="R47" s="18">
        <v>320</v>
      </c>
      <c r="S47" s="229"/>
      <c r="T47" s="237"/>
      <c r="U47" s="18">
        <v>400</v>
      </c>
      <c r="V47" s="229"/>
      <c r="W47" s="244"/>
      <c r="X47" s="96">
        <v>20</v>
      </c>
      <c r="Y47" s="229"/>
      <c r="Z47" s="244"/>
      <c r="AA47" s="96">
        <v>260</v>
      </c>
      <c r="AB47" s="229"/>
      <c r="AC47" s="244"/>
      <c r="AD47" s="96">
        <v>400</v>
      </c>
      <c r="AE47" s="229"/>
      <c r="AF47" s="244"/>
      <c r="AG47" s="96">
        <v>440</v>
      </c>
      <c r="AH47" s="229"/>
      <c r="AI47" s="244"/>
      <c r="AJ47" s="96">
        <v>100</v>
      </c>
      <c r="AK47" s="229"/>
      <c r="AL47" s="244"/>
      <c r="AM47" s="96">
        <v>500</v>
      </c>
      <c r="AN47" s="229"/>
      <c r="AO47" s="244"/>
      <c r="AP47" s="96">
        <v>200</v>
      </c>
      <c r="AQ47" s="229"/>
      <c r="AR47" s="244"/>
      <c r="AS47" s="96">
        <v>200</v>
      </c>
      <c r="AT47" s="229"/>
      <c r="AU47" s="244"/>
      <c r="AV47" s="96">
        <v>480</v>
      </c>
      <c r="AW47" s="229"/>
      <c r="AX47" s="244"/>
      <c r="AY47" s="96">
        <v>640</v>
      </c>
      <c r="AZ47" s="229"/>
      <c r="BA47" s="244"/>
      <c r="BB47" s="96">
        <v>200</v>
      </c>
      <c r="BC47" s="229"/>
      <c r="BD47" s="244"/>
      <c r="BE47" s="96">
        <v>260</v>
      </c>
      <c r="BF47" s="229"/>
      <c r="BG47" s="244"/>
      <c r="BH47" s="96">
        <v>460</v>
      </c>
      <c r="BI47" s="229"/>
      <c r="BJ47" s="244"/>
      <c r="BK47" s="96">
        <v>340</v>
      </c>
      <c r="BL47" s="229"/>
      <c r="BM47" s="244"/>
      <c r="BN47" s="96"/>
      <c r="BO47" s="229"/>
      <c r="BP47" s="244"/>
      <c r="BQ47" s="96"/>
      <c r="BR47" s="229"/>
      <c r="BS47" s="244"/>
      <c r="BT47" s="96"/>
      <c r="BU47" s="229"/>
      <c r="BV47" s="244"/>
      <c r="BW47" s="96"/>
      <c r="BX47" s="229"/>
    </row>
    <row r="48" spans="1:76" x14ac:dyDescent="0.45">
      <c r="A48" s="82">
        <v>28</v>
      </c>
      <c r="B48" s="61" t="s">
        <v>66</v>
      </c>
      <c r="C48" s="71" t="s">
        <v>102</v>
      </c>
      <c r="D48" s="66">
        <v>1720</v>
      </c>
      <c r="E48" s="15"/>
      <c r="F48" s="14">
        <v>1720</v>
      </c>
      <c r="G48" s="27"/>
      <c r="H48" s="16"/>
      <c r="I48" s="18">
        <v>480</v>
      </c>
      <c r="J48" s="19">
        <v>1240</v>
      </c>
      <c r="K48" s="16"/>
      <c r="L48" s="18">
        <v>160</v>
      </c>
      <c r="M48" s="19">
        <v>1080</v>
      </c>
      <c r="N48" s="16"/>
      <c r="O48" s="18">
        <v>260</v>
      </c>
      <c r="P48" s="19">
        <v>820</v>
      </c>
      <c r="Q48" s="16">
        <v>1200</v>
      </c>
      <c r="R48" s="18">
        <v>380</v>
      </c>
      <c r="S48" s="19">
        <v>1640</v>
      </c>
      <c r="T48" s="16"/>
      <c r="U48" s="18">
        <v>640</v>
      </c>
      <c r="V48" s="19">
        <v>1000</v>
      </c>
      <c r="W48" s="89">
        <v>560</v>
      </c>
      <c r="X48" s="96">
        <v>400</v>
      </c>
      <c r="Y48" s="19">
        <v>1160</v>
      </c>
      <c r="Z48" s="89"/>
      <c r="AA48" s="96">
        <v>480</v>
      </c>
      <c r="AB48" s="19">
        <v>680</v>
      </c>
      <c r="AC48" s="89">
        <v>840</v>
      </c>
      <c r="AD48" s="96">
        <v>200</v>
      </c>
      <c r="AE48" s="19">
        <v>1420</v>
      </c>
      <c r="AF48" s="89">
        <v>400</v>
      </c>
      <c r="AG48" s="96">
        <v>380</v>
      </c>
      <c r="AH48" s="19">
        <v>1340</v>
      </c>
      <c r="AI48" s="89">
        <v>800</v>
      </c>
      <c r="AJ48" s="96">
        <v>300</v>
      </c>
      <c r="AK48" s="19">
        <v>1840</v>
      </c>
      <c r="AL48" s="89"/>
      <c r="AM48" s="96">
        <v>400</v>
      </c>
      <c r="AN48" s="19">
        <v>1440</v>
      </c>
      <c r="AO48" s="89"/>
      <c r="AP48" s="96">
        <v>580</v>
      </c>
      <c r="AQ48" s="19">
        <v>860</v>
      </c>
      <c r="AR48" s="89"/>
      <c r="AS48" s="96">
        <v>200</v>
      </c>
      <c r="AT48" s="19">
        <v>660</v>
      </c>
      <c r="AU48" s="89">
        <v>1400</v>
      </c>
      <c r="AV48" s="96">
        <v>480</v>
      </c>
      <c r="AW48" s="19">
        <v>1580</v>
      </c>
      <c r="AX48" s="89"/>
      <c r="AY48" s="96">
        <v>660</v>
      </c>
      <c r="AZ48" s="19">
        <v>920</v>
      </c>
      <c r="BA48" s="89">
        <v>1400</v>
      </c>
      <c r="BB48" s="96">
        <v>500</v>
      </c>
      <c r="BC48" s="19">
        <v>1620</v>
      </c>
      <c r="BD48" s="89"/>
      <c r="BE48" s="96">
        <v>700</v>
      </c>
      <c r="BF48" s="19">
        <v>920</v>
      </c>
      <c r="BG48" s="89">
        <v>1120</v>
      </c>
      <c r="BH48" s="96">
        <v>380</v>
      </c>
      <c r="BI48" s="19">
        <v>1660</v>
      </c>
      <c r="BJ48" s="89">
        <v>840</v>
      </c>
      <c r="BK48" s="96">
        <v>760</v>
      </c>
      <c r="BL48" s="19">
        <v>1740</v>
      </c>
      <c r="BM48" s="89"/>
      <c r="BN48" s="96">
        <v>300</v>
      </c>
      <c r="BO48" s="19">
        <v>1440</v>
      </c>
      <c r="BP48" s="89"/>
      <c r="BQ48" s="96"/>
      <c r="BR48" s="19"/>
      <c r="BS48" s="89">
        <v>840</v>
      </c>
      <c r="BT48" s="96"/>
      <c r="BU48" s="19"/>
      <c r="BV48" s="89"/>
      <c r="BW48" s="96"/>
      <c r="BX48" s="19"/>
    </row>
    <row r="49" spans="1:76" x14ac:dyDescent="0.45">
      <c r="A49" s="82">
        <v>29</v>
      </c>
      <c r="B49" s="85" t="s">
        <v>66</v>
      </c>
      <c r="C49" s="86" t="s">
        <v>103</v>
      </c>
      <c r="D49" s="66">
        <v>120</v>
      </c>
      <c r="E49" s="15"/>
      <c r="F49" s="14">
        <v>120</v>
      </c>
      <c r="G49" s="27"/>
      <c r="H49" s="16">
        <v>100</v>
      </c>
      <c r="I49" s="18"/>
      <c r="J49" s="19">
        <v>220</v>
      </c>
      <c r="K49" s="16"/>
      <c r="L49" s="18">
        <v>20</v>
      </c>
      <c r="M49" s="19">
        <v>200</v>
      </c>
      <c r="N49" s="16"/>
      <c r="O49" s="18">
        <v>40</v>
      </c>
      <c r="P49" s="19">
        <v>160</v>
      </c>
      <c r="Q49" s="16"/>
      <c r="R49" s="18">
        <v>80</v>
      </c>
      <c r="S49" s="19">
        <v>80</v>
      </c>
      <c r="T49" s="16"/>
      <c r="U49" s="18"/>
      <c r="V49" s="19">
        <v>80</v>
      </c>
      <c r="W49" s="89">
        <v>80</v>
      </c>
      <c r="X49" s="96"/>
      <c r="Y49" s="19">
        <v>160</v>
      </c>
      <c r="Z49" s="89"/>
      <c r="AA49" s="96"/>
      <c r="AB49" s="19">
        <v>160</v>
      </c>
      <c r="AC49" s="89"/>
      <c r="AD49" s="96"/>
      <c r="AE49" s="19">
        <v>160</v>
      </c>
      <c r="AF49" s="89"/>
      <c r="AG49" s="96">
        <v>20</v>
      </c>
      <c r="AH49" s="19">
        <v>140</v>
      </c>
      <c r="AI49" s="89"/>
      <c r="AJ49" s="96"/>
      <c r="AK49" s="19">
        <v>140</v>
      </c>
      <c r="AL49" s="89"/>
      <c r="AM49" s="96"/>
      <c r="AN49" s="19">
        <v>140</v>
      </c>
      <c r="AO49" s="89"/>
      <c r="AP49" s="96"/>
      <c r="AQ49" s="19">
        <v>140</v>
      </c>
      <c r="AR49" s="114"/>
      <c r="AS49" s="96"/>
      <c r="AT49" s="19">
        <v>140</v>
      </c>
      <c r="AU49" s="114"/>
      <c r="AV49" s="96"/>
      <c r="AW49" s="19">
        <v>140</v>
      </c>
      <c r="AX49" s="114"/>
      <c r="AY49" s="96"/>
      <c r="AZ49" s="19">
        <v>140</v>
      </c>
      <c r="BA49" s="114"/>
      <c r="BB49" s="96"/>
      <c r="BC49" s="19">
        <v>140</v>
      </c>
      <c r="BD49" s="114"/>
      <c r="BE49" s="96">
        <v>60</v>
      </c>
      <c r="BF49" s="19">
        <v>80</v>
      </c>
      <c r="BG49" s="114"/>
      <c r="BH49" s="96"/>
      <c r="BI49" s="19">
        <v>80</v>
      </c>
      <c r="BJ49" s="114"/>
      <c r="BK49" s="96"/>
      <c r="BL49" s="19">
        <v>80</v>
      </c>
      <c r="BM49" s="114"/>
      <c r="BN49" s="96"/>
      <c r="BO49" s="19">
        <v>80</v>
      </c>
      <c r="BP49" s="114"/>
      <c r="BQ49" s="96"/>
      <c r="BR49" s="19"/>
      <c r="BS49" s="114"/>
      <c r="BT49" s="96"/>
      <c r="BU49" s="19"/>
      <c r="BV49" s="114"/>
      <c r="BW49" s="96"/>
      <c r="BX49" s="19"/>
    </row>
    <row r="50" spans="1:76" x14ac:dyDescent="0.45">
      <c r="A50" s="238">
        <v>30</v>
      </c>
      <c r="B50" s="245" t="s">
        <v>66</v>
      </c>
      <c r="C50" s="246" t="s">
        <v>112</v>
      </c>
      <c r="D50" s="66">
        <v>2820</v>
      </c>
      <c r="E50" s="15"/>
      <c r="F50" s="14">
        <v>2820</v>
      </c>
      <c r="G50" s="27" t="s">
        <v>57</v>
      </c>
      <c r="H50" s="247">
        <v>1400</v>
      </c>
      <c r="I50" s="18">
        <v>560</v>
      </c>
      <c r="J50" s="248">
        <v>3400</v>
      </c>
      <c r="K50" s="247"/>
      <c r="L50" s="18">
        <v>960</v>
      </c>
      <c r="M50" s="248">
        <v>2320</v>
      </c>
      <c r="N50" s="247"/>
      <c r="O50" s="18">
        <v>240</v>
      </c>
      <c r="P50" s="248">
        <v>1380</v>
      </c>
      <c r="Q50" s="247">
        <v>1980</v>
      </c>
      <c r="R50" s="18">
        <v>660</v>
      </c>
      <c r="S50" s="248">
        <v>2400</v>
      </c>
      <c r="T50" s="247"/>
      <c r="U50" s="18"/>
      <c r="V50" s="248">
        <v>240</v>
      </c>
      <c r="W50" s="249">
        <v>1400</v>
      </c>
      <c r="X50" s="96">
        <v>480</v>
      </c>
      <c r="Y50" s="248">
        <v>520</v>
      </c>
      <c r="Z50" s="249">
        <v>500</v>
      </c>
      <c r="AA50" s="96">
        <v>760</v>
      </c>
      <c r="AB50" s="248">
        <v>160</v>
      </c>
      <c r="AC50" s="249">
        <v>2020</v>
      </c>
      <c r="AD50" s="96">
        <v>480</v>
      </c>
      <c r="AE50" s="248">
        <v>880</v>
      </c>
      <c r="AF50" s="249">
        <v>2240</v>
      </c>
      <c r="AG50" s="96">
        <v>420</v>
      </c>
      <c r="AH50" s="248">
        <v>1740</v>
      </c>
      <c r="AI50" s="249">
        <v>3100</v>
      </c>
      <c r="AJ50" s="96">
        <v>760</v>
      </c>
      <c r="AK50" s="248">
        <v>2960</v>
      </c>
      <c r="AL50" s="249"/>
      <c r="AM50" s="96">
        <v>540</v>
      </c>
      <c r="AN50" s="248">
        <v>1580</v>
      </c>
      <c r="AO50" s="249">
        <v>1000</v>
      </c>
      <c r="AP50" s="96">
        <v>700</v>
      </c>
      <c r="AQ50" s="248">
        <v>1680</v>
      </c>
      <c r="AR50" s="249"/>
      <c r="AS50" s="96">
        <v>400</v>
      </c>
      <c r="AT50" s="248">
        <v>500</v>
      </c>
      <c r="AU50" s="249">
        <v>3020</v>
      </c>
      <c r="AV50" s="96">
        <v>580</v>
      </c>
      <c r="AW50" s="248">
        <v>2040</v>
      </c>
      <c r="AX50" s="249">
        <v>1380</v>
      </c>
      <c r="AY50" s="96">
        <v>540</v>
      </c>
      <c r="AZ50" s="248">
        <v>2060</v>
      </c>
      <c r="BA50" s="249">
        <v>560</v>
      </c>
      <c r="BB50" s="96">
        <v>520</v>
      </c>
      <c r="BC50" s="248">
        <v>840</v>
      </c>
      <c r="BD50" s="249">
        <v>1120</v>
      </c>
      <c r="BE50" s="96">
        <v>380</v>
      </c>
      <c r="BF50" s="248">
        <v>1180</v>
      </c>
      <c r="BG50" s="249">
        <v>1120</v>
      </c>
      <c r="BH50" s="96">
        <v>680</v>
      </c>
      <c r="BI50" s="248">
        <v>1360</v>
      </c>
      <c r="BJ50" s="249">
        <v>500</v>
      </c>
      <c r="BK50" s="96">
        <v>1180</v>
      </c>
      <c r="BL50" s="248">
        <v>400</v>
      </c>
      <c r="BM50" s="249">
        <v>1120</v>
      </c>
      <c r="BN50" s="96"/>
      <c r="BO50" s="248">
        <v>320</v>
      </c>
      <c r="BP50" s="249">
        <v>2240</v>
      </c>
      <c r="BQ50" s="96"/>
      <c r="BR50" s="248"/>
      <c r="BS50" s="249">
        <v>1120</v>
      </c>
      <c r="BT50" s="96"/>
      <c r="BU50" s="248"/>
      <c r="BV50" s="249">
        <v>1120</v>
      </c>
      <c r="BW50" s="96"/>
      <c r="BX50" s="248"/>
    </row>
    <row r="51" spans="1:76" x14ac:dyDescent="0.45">
      <c r="A51" s="231"/>
      <c r="B51" s="233"/>
      <c r="C51" s="235"/>
      <c r="D51" s="66"/>
      <c r="E51" s="15"/>
      <c r="F51" s="14"/>
      <c r="G51" s="27" t="s">
        <v>58</v>
      </c>
      <c r="H51" s="237"/>
      <c r="I51" s="18">
        <v>200</v>
      </c>
      <c r="J51" s="229"/>
      <c r="K51" s="237"/>
      <c r="L51" s="18"/>
      <c r="M51" s="229"/>
      <c r="N51" s="237"/>
      <c r="O51" s="18">
        <v>500</v>
      </c>
      <c r="P51" s="229"/>
      <c r="Q51" s="237"/>
      <c r="R51" s="18">
        <v>200</v>
      </c>
      <c r="S51" s="229"/>
      <c r="T51" s="237"/>
      <c r="U51" s="18"/>
      <c r="V51" s="229"/>
      <c r="W51" s="244"/>
      <c r="X51" s="96">
        <v>140</v>
      </c>
      <c r="Y51" s="229"/>
      <c r="Z51" s="244"/>
      <c r="AA51" s="96"/>
      <c r="AB51" s="229"/>
      <c r="AC51" s="244"/>
      <c r="AD51" s="96">
        <v>520</v>
      </c>
      <c r="AE51" s="229"/>
      <c r="AF51" s="244"/>
      <c r="AG51" s="96">
        <v>60</v>
      </c>
      <c r="AH51" s="229"/>
      <c r="AI51" s="244"/>
      <c r="AJ51" s="96">
        <v>80</v>
      </c>
      <c r="AK51" s="229"/>
      <c r="AL51" s="244"/>
      <c r="AM51" s="96">
        <v>180</v>
      </c>
      <c r="AN51" s="229"/>
      <c r="AO51" s="244"/>
      <c r="AP51" s="96">
        <v>180</v>
      </c>
      <c r="AQ51" s="229"/>
      <c r="AR51" s="244"/>
      <c r="AS51" s="96">
        <v>180</v>
      </c>
      <c r="AT51" s="229"/>
      <c r="AU51" s="244"/>
      <c r="AV51" s="96">
        <v>400</v>
      </c>
      <c r="AW51" s="229"/>
      <c r="AX51" s="244"/>
      <c r="AY51" s="96">
        <v>220</v>
      </c>
      <c r="AZ51" s="229"/>
      <c r="BA51" s="244"/>
      <c r="BB51" s="96">
        <v>340</v>
      </c>
      <c r="BC51" s="229"/>
      <c r="BD51" s="244"/>
      <c r="BE51" s="96">
        <v>300</v>
      </c>
      <c r="BF51" s="229"/>
      <c r="BG51" s="244"/>
      <c r="BH51" s="96">
        <v>160</v>
      </c>
      <c r="BI51" s="229"/>
      <c r="BJ51" s="244"/>
      <c r="BK51" s="96">
        <v>280</v>
      </c>
      <c r="BL51" s="229"/>
      <c r="BM51" s="244"/>
      <c r="BN51" s="96"/>
      <c r="BO51" s="229"/>
      <c r="BP51" s="244"/>
      <c r="BQ51" s="96"/>
      <c r="BR51" s="229"/>
      <c r="BS51" s="244"/>
      <c r="BT51" s="96"/>
      <c r="BU51" s="229"/>
      <c r="BV51" s="244"/>
      <c r="BW51" s="96"/>
      <c r="BX51" s="229"/>
    </row>
    <row r="52" spans="1:76" x14ac:dyDescent="0.45">
      <c r="A52" s="238">
        <v>31</v>
      </c>
      <c r="B52" s="245" t="s">
        <v>66</v>
      </c>
      <c r="C52" s="246" t="s">
        <v>113</v>
      </c>
      <c r="D52" s="66">
        <v>1560</v>
      </c>
      <c r="E52" s="15"/>
      <c r="F52" s="14">
        <v>1560</v>
      </c>
      <c r="G52" s="27" t="s">
        <v>57</v>
      </c>
      <c r="H52" s="247">
        <v>1120</v>
      </c>
      <c r="I52" s="18">
        <v>100</v>
      </c>
      <c r="J52" s="248">
        <v>2380</v>
      </c>
      <c r="K52" s="247"/>
      <c r="L52" s="18">
        <v>240</v>
      </c>
      <c r="M52" s="248">
        <v>2100</v>
      </c>
      <c r="N52" s="247"/>
      <c r="O52" s="18"/>
      <c r="P52" s="248">
        <v>1540</v>
      </c>
      <c r="Q52" s="247"/>
      <c r="R52" s="18">
        <v>100</v>
      </c>
      <c r="S52" s="248">
        <v>1240</v>
      </c>
      <c r="T52" s="247"/>
      <c r="U52" s="18"/>
      <c r="V52" s="248">
        <v>740</v>
      </c>
      <c r="W52" s="249">
        <v>1120</v>
      </c>
      <c r="X52" s="96">
        <v>160</v>
      </c>
      <c r="Y52" s="248">
        <v>1360</v>
      </c>
      <c r="Z52" s="249"/>
      <c r="AA52" s="96"/>
      <c r="AB52" s="248">
        <v>1360</v>
      </c>
      <c r="AC52" s="249">
        <v>1120</v>
      </c>
      <c r="AD52" s="96"/>
      <c r="AE52" s="248">
        <v>2180</v>
      </c>
      <c r="AF52" s="249"/>
      <c r="AG52" s="96">
        <v>180</v>
      </c>
      <c r="AH52" s="248">
        <v>1940</v>
      </c>
      <c r="AI52" s="249"/>
      <c r="AJ52" s="96"/>
      <c r="AK52" s="248">
        <v>1860</v>
      </c>
      <c r="AL52" s="249"/>
      <c r="AM52" s="96">
        <v>160</v>
      </c>
      <c r="AN52" s="248">
        <v>1520</v>
      </c>
      <c r="AO52" s="249"/>
      <c r="AP52" s="96">
        <v>120</v>
      </c>
      <c r="AQ52" s="248">
        <v>960</v>
      </c>
      <c r="AR52" s="249"/>
      <c r="AS52" s="96"/>
      <c r="AT52" s="248">
        <v>800</v>
      </c>
      <c r="AU52" s="249"/>
      <c r="AV52" s="96">
        <v>60</v>
      </c>
      <c r="AW52" s="248">
        <v>520</v>
      </c>
      <c r="AX52" s="249">
        <v>1120</v>
      </c>
      <c r="AY52" s="96">
        <v>240</v>
      </c>
      <c r="AZ52" s="248">
        <v>1180</v>
      </c>
      <c r="BA52" s="249"/>
      <c r="BB52" s="96">
        <v>40</v>
      </c>
      <c r="BC52" s="248">
        <v>920</v>
      </c>
      <c r="BD52" s="249">
        <v>500</v>
      </c>
      <c r="BE52" s="96">
        <v>100</v>
      </c>
      <c r="BF52" s="248">
        <v>1100</v>
      </c>
      <c r="BG52" s="249">
        <v>580</v>
      </c>
      <c r="BH52" s="96">
        <v>160</v>
      </c>
      <c r="BI52" s="248">
        <v>1360</v>
      </c>
      <c r="BJ52" s="249">
        <v>560</v>
      </c>
      <c r="BK52" s="96"/>
      <c r="BL52" s="248">
        <v>1740</v>
      </c>
      <c r="BM52" s="249"/>
      <c r="BN52" s="96"/>
      <c r="BO52" s="248">
        <v>1540</v>
      </c>
      <c r="BP52" s="249">
        <v>280</v>
      </c>
      <c r="BQ52" s="96"/>
      <c r="BR52" s="248"/>
      <c r="BS52" s="249">
        <v>560</v>
      </c>
      <c r="BT52" s="96"/>
      <c r="BU52" s="248"/>
      <c r="BV52" s="249"/>
      <c r="BW52" s="96"/>
      <c r="BX52" s="248"/>
    </row>
    <row r="53" spans="1:76" ht="18" thickBot="1" x14ac:dyDescent="0.5">
      <c r="A53" s="231"/>
      <c r="B53" s="266"/>
      <c r="C53" s="267"/>
      <c r="D53" s="67"/>
      <c r="E53" s="29"/>
      <c r="F53" s="28"/>
      <c r="G53" s="30" t="s">
        <v>58</v>
      </c>
      <c r="H53" s="268"/>
      <c r="I53" s="20">
        <v>200</v>
      </c>
      <c r="J53" s="265"/>
      <c r="K53" s="268"/>
      <c r="L53" s="20">
        <v>40</v>
      </c>
      <c r="M53" s="265"/>
      <c r="N53" s="268"/>
      <c r="O53" s="20">
        <v>560</v>
      </c>
      <c r="P53" s="265"/>
      <c r="Q53" s="268"/>
      <c r="R53" s="20">
        <v>100</v>
      </c>
      <c r="S53" s="265"/>
      <c r="T53" s="268"/>
      <c r="U53" s="20"/>
      <c r="V53" s="265"/>
      <c r="W53" s="269"/>
      <c r="X53" s="97">
        <v>240</v>
      </c>
      <c r="Y53" s="265"/>
      <c r="Z53" s="269"/>
      <c r="AA53" s="97"/>
      <c r="AB53" s="265"/>
      <c r="AC53" s="269"/>
      <c r="AD53" s="97">
        <v>300</v>
      </c>
      <c r="AE53" s="265"/>
      <c r="AF53" s="269"/>
      <c r="AG53" s="97">
        <v>60</v>
      </c>
      <c r="AH53" s="265"/>
      <c r="AI53" s="269"/>
      <c r="AJ53" s="97">
        <v>80</v>
      </c>
      <c r="AK53" s="265"/>
      <c r="AL53" s="269"/>
      <c r="AM53" s="97">
        <v>180</v>
      </c>
      <c r="AN53" s="265"/>
      <c r="AO53" s="269"/>
      <c r="AP53" s="97">
        <v>140</v>
      </c>
      <c r="AQ53" s="265"/>
      <c r="AR53" s="269"/>
      <c r="AS53" s="97">
        <v>160</v>
      </c>
      <c r="AT53" s="265"/>
      <c r="AU53" s="269"/>
      <c r="AV53" s="97">
        <v>220</v>
      </c>
      <c r="AW53" s="265"/>
      <c r="AX53" s="269"/>
      <c r="AY53" s="97">
        <v>220</v>
      </c>
      <c r="AZ53" s="265"/>
      <c r="BA53" s="269"/>
      <c r="BB53" s="97">
        <v>220</v>
      </c>
      <c r="BC53" s="265"/>
      <c r="BD53" s="269"/>
      <c r="BE53" s="97">
        <v>220</v>
      </c>
      <c r="BF53" s="265"/>
      <c r="BG53" s="269"/>
      <c r="BH53" s="97">
        <v>160</v>
      </c>
      <c r="BI53" s="265"/>
      <c r="BJ53" s="269"/>
      <c r="BK53" s="97">
        <v>180</v>
      </c>
      <c r="BL53" s="265"/>
      <c r="BM53" s="269"/>
      <c r="BN53" s="97"/>
      <c r="BO53" s="265"/>
      <c r="BP53" s="269"/>
      <c r="BQ53" s="97"/>
      <c r="BR53" s="265"/>
      <c r="BS53" s="269"/>
      <c r="BT53" s="97"/>
      <c r="BU53" s="265"/>
      <c r="BV53" s="269"/>
      <c r="BW53" s="97"/>
      <c r="BX53" s="265"/>
    </row>
    <row r="54" spans="1:76" x14ac:dyDescent="0.45">
      <c r="A54" s="82">
        <v>32</v>
      </c>
      <c r="B54" s="104" t="s">
        <v>61</v>
      </c>
      <c r="C54" s="105" t="s">
        <v>62</v>
      </c>
      <c r="D54" s="68">
        <v>600</v>
      </c>
      <c r="E54" s="41"/>
      <c r="F54" s="40">
        <v>600</v>
      </c>
      <c r="G54" s="42"/>
      <c r="H54" s="34"/>
      <c r="I54" s="43"/>
      <c r="J54" s="32">
        <v>600</v>
      </c>
      <c r="K54" s="34"/>
      <c r="L54" s="43"/>
      <c r="M54" s="32">
        <v>600</v>
      </c>
      <c r="N54" s="34"/>
      <c r="O54" s="43"/>
      <c r="P54" s="32">
        <v>600</v>
      </c>
      <c r="Q54" s="34"/>
      <c r="R54" s="43">
        <v>600</v>
      </c>
      <c r="S54" s="32"/>
      <c r="T54" s="34"/>
      <c r="U54" s="43"/>
      <c r="V54" s="32"/>
      <c r="W54" s="88"/>
      <c r="X54" s="98"/>
      <c r="Y54" s="32"/>
      <c r="Z54" s="88"/>
      <c r="AA54" s="98"/>
      <c r="AB54" s="32"/>
      <c r="AC54" s="88">
        <v>300</v>
      </c>
      <c r="AD54" s="98"/>
      <c r="AE54" s="32">
        <v>300</v>
      </c>
      <c r="AF54" s="88"/>
      <c r="AG54" s="98"/>
      <c r="AH54" s="32">
        <v>300</v>
      </c>
      <c r="AI54" s="88"/>
      <c r="AJ54" s="98"/>
      <c r="AK54" s="32">
        <v>300</v>
      </c>
      <c r="AL54" s="88"/>
      <c r="AM54" s="98">
        <v>300</v>
      </c>
      <c r="AN54" s="32"/>
      <c r="AO54" s="88"/>
      <c r="AP54" s="98"/>
      <c r="AQ54" s="32"/>
      <c r="AR54" s="88">
        <v>680</v>
      </c>
      <c r="AS54" s="98"/>
      <c r="AT54" s="32">
        <v>680</v>
      </c>
      <c r="AU54" s="88"/>
      <c r="AV54" s="98">
        <v>680</v>
      </c>
      <c r="AW54" s="32"/>
      <c r="AX54" s="88">
        <v>120</v>
      </c>
      <c r="AY54" s="98"/>
      <c r="AZ54" s="32">
        <v>120</v>
      </c>
      <c r="BA54" s="88">
        <v>800</v>
      </c>
      <c r="BB54" s="98">
        <v>120</v>
      </c>
      <c r="BC54" s="32">
        <v>800</v>
      </c>
      <c r="BD54" s="88"/>
      <c r="BE54" s="98">
        <v>800</v>
      </c>
      <c r="BF54" s="32"/>
      <c r="BG54" s="88"/>
      <c r="BH54" s="98"/>
      <c r="BI54" s="32"/>
      <c r="BJ54" s="88"/>
      <c r="BK54" s="98"/>
      <c r="BL54" s="32"/>
      <c r="BM54" s="88"/>
      <c r="BN54" s="98"/>
      <c r="BO54" s="32"/>
      <c r="BP54" s="88">
        <v>800</v>
      </c>
      <c r="BQ54" s="98"/>
      <c r="BR54" s="32"/>
      <c r="BS54" s="88"/>
      <c r="BT54" s="98"/>
      <c r="BU54" s="32"/>
      <c r="BV54" s="88"/>
      <c r="BW54" s="98"/>
      <c r="BX54" s="32"/>
    </row>
    <row r="55" spans="1:76" x14ac:dyDescent="0.45">
      <c r="A55" s="82">
        <v>33</v>
      </c>
      <c r="B55" s="61" t="s">
        <v>67</v>
      </c>
      <c r="C55" s="71" t="s">
        <v>104</v>
      </c>
      <c r="D55" s="66">
        <v>5400</v>
      </c>
      <c r="E55" s="15"/>
      <c r="F55" s="14">
        <v>5400</v>
      </c>
      <c r="G55" s="27"/>
      <c r="H55" s="16"/>
      <c r="I55" s="18">
        <v>480</v>
      </c>
      <c r="J55" s="19">
        <v>4920</v>
      </c>
      <c r="K55" s="16"/>
      <c r="L55" s="18">
        <v>1800</v>
      </c>
      <c r="M55" s="19">
        <v>3120</v>
      </c>
      <c r="N55" s="16">
        <v>2700</v>
      </c>
      <c r="O55" s="18">
        <v>3300</v>
      </c>
      <c r="P55" s="19">
        <v>2520</v>
      </c>
      <c r="Q55" s="16">
        <v>2700</v>
      </c>
      <c r="R55" s="18"/>
      <c r="S55" s="19">
        <v>5220</v>
      </c>
      <c r="T55" s="16"/>
      <c r="U55" s="18"/>
      <c r="V55" s="19">
        <v>5220</v>
      </c>
      <c r="W55" s="89">
        <v>1500</v>
      </c>
      <c r="X55" s="96">
        <v>2700</v>
      </c>
      <c r="Y55" s="19">
        <v>4020</v>
      </c>
      <c r="Z55" s="89"/>
      <c r="AA55" s="96"/>
      <c r="AB55" s="19">
        <v>4020</v>
      </c>
      <c r="AC55" s="89"/>
      <c r="AD55" s="96">
        <v>2940</v>
      </c>
      <c r="AE55" s="19">
        <v>2520</v>
      </c>
      <c r="AF55" s="89">
        <v>5400</v>
      </c>
      <c r="AG55" s="96">
        <v>2520</v>
      </c>
      <c r="AH55" s="19">
        <v>3960</v>
      </c>
      <c r="AI55" s="89"/>
      <c r="AJ55" s="96">
        <v>1080</v>
      </c>
      <c r="AK55" s="19">
        <v>2880</v>
      </c>
      <c r="AL55" s="89">
        <v>8100</v>
      </c>
      <c r="AM55" s="96">
        <v>4260</v>
      </c>
      <c r="AN55" s="19">
        <v>6660</v>
      </c>
      <c r="AO55" s="89"/>
      <c r="AP55" s="96">
        <v>1260</v>
      </c>
      <c r="AQ55" s="19">
        <v>5400</v>
      </c>
      <c r="AR55" s="89">
        <v>5400</v>
      </c>
      <c r="AS55" s="96">
        <v>2280</v>
      </c>
      <c r="AT55" s="19">
        <v>8520</v>
      </c>
      <c r="AU55" s="89"/>
      <c r="AV55" s="96">
        <v>960</v>
      </c>
      <c r="AW55" s="19">
        <v>7560</v>
      </c>
      <c r="AX55" s="89"/>
      <c r="AY55" s="96">
        <v>2160</v>
      </c>
      <c r="AZ55" s="19">
        <v>5400</v>
      </c>
      <c r="BA55" s="89">
        <v>5400</v>
      </c>
      <c r="BB55" s="96">
        <v>5400</v>
      </c>
      <c r="BC55" s="19">
        <v>5400</v>
      </c>
      <c r="BD55" s="89">
        <v>5400</v>
      </c>
      <c r="BE55" s="96">
        <v>1800</v>
      </c>
      <c r="BF55" s="19">
        <v>9000</v>
      </c>
      <c r="BG55" s="89">
        <v>5400</v>
      </c>
      <c r="BH55" s="96">
        <v>900</v>
      </c>
      <c r="BI55" s="19">
        <v>13500</v>
      </c>
      <c r="BJ55" s="89"/>
      <c r="BK55" s="96">
        <v>8100</v>
      </c>
      <c r="BL55" s="19">
        <v>5400</v>
      </c>
      <c r="BM55" s="89"/>
      <c r="BN55" s="96">
        <v>1320</v>
      </c>
      <c r="BO55" s="19">
        <v>4080</v>
      </c>
      <c r="BP55" s="89">
        <v>5400</v>
      </c>
      <c r="BQ55" s="96"/>
      <c r="BR55" s="19"/>
      <c r="BS55" s="89">
        <v>5400</v>
      </c>
      <c r="BT55" s="96"/>
      <c r="BU55" s="19"/>
      <c r="BV55" s="89">
        <v>5400</v>
      </c>
      <c r="BW55" s="96"/>
      <c r="BX55" s="19"/>
    </row>
    <row r="56" spans="1:76" x14ac:dyDescent="0.45">
      <c r="A56" s="238">
        <v>34</v>
      </c>
      <c r="B56" s="245" t="s">
        <v>67</v>
      </c>
      <c r="C56" s="246" t="s">
        <v>105</v>
      </c>
      <c r="D56" s="66">
        <v>16200</v>
      </c>
      <c r="E56" s="15"/>
      <c r="F56" s="14">
        <v>14940</v>
      </c>
      <c r="G56" s="27" t="s">
        <v>57</v>
      </c>
      <c r="H56" s="247">
        <v>5400</v>
      </c>
      <c r="I56" s="18">
        <v>8280</v>
      </c>
      <c r="J56" s="248">
        <v>11760</v>
      </c>
      <c r="K56" s="247">
        <v>5400</v>
      </c>
      <c r="L56" s="18">
        <v>7440</v>
      </c>
      <c r="M56" s="248">
        <v>9720</v>
      </c>
      <c r="N56" s="247">
        <v>8100</v>
      </c>
      <c r="O56" s="18">
        <v>8640</v>
      </c>
      <c r="P56" s="248">
        <v>6480</v>
      </c>
      <c r="Q56" s="247">
        <v>18900</v>
      </c>
      <c r="R56" s="18">
        <v>6480</v>
      </c>
      <c r="S56" s="248">
        <v>16200</v>
      </c>
      <c r="T56" s="247">
        <v>8100</v>
      </c>
      <c r="U56" s="18">
        <v>14400</v>
      </c>
      <c r="V56" s="248">
        <v>9900</v>
      </c>
      <c r="W56" s="249">
        <v>8100</v>
      </c>
      <c r="X56" s="96">
        <v>7380</v>
      </c>
      <c r="Y56" s="248">
        <v>10620</v>
      </c>
      <c r="Z56" s="249">
        <v>2700</v>
      </c>
      <c r="AA56" s="96"/>
      <c r="AB56" s="248">
        <v>5700</v>
      </c>
      <c r="AC56" s="249">
        <v>8100</v>
      </c>
      <c r="AD56" s="96">
        <v>6300</v>
      </c>
      <c r="AE56" s="248">
        <v>8280</v>
      </c>
      <c r="AF56" s="249">
        <v>13500</v>
      </c>
      <c r="AG56" s="96">
        <v>7170</v>
      </c>
      <c r="AH56" s="248">
        <v>13500</v>
      </c>
      <c r="AI56" s="249">
        <v>10800</v>
      </c>
      <c r="AJ56" s="96">
        <v>9180</v>
      </c>
      <c r="AK56" s="248">
        <v>15120</v>
      </c>
      <c r="AL56" s="249">
        <v>5400</v>
      </c>
      <c r="AM56" s="96">
        <v>4620</v>
      </c>
      <c r="AN56" s="248">
        <v>15900</v>
      </c>
      <c r="AO56" s="249">
        <v>5400</v>
      </c>
      <c r="AP56" s="96">
        <v>7440</v>
      </c>
      <c r="AQ56" s="248">
        <v>11160</v>
      </c>
      <c r="AR56" s="249">
        <v>8580</v>
      </c>
      <c r="AS56" s="96">
        <v>4260</v>
      </c>
      <c r="AT56" s="248">
        <v>15480</v>
      </c>
      <c r="AU56" s="249">
        <v>2700</v>
      </c>
      <c r="AV56" s="96">
        <v>7920</v>
      </c>
      <c r="AW56" s="248">
        <v>10260</v>
      </c>
      <c r="AX56" s="249">
        <v>10800</v>
      </c>
      <c r="AY56" s="96">
        <v>10260</v>
      </c>
      <c r="AZ56" s="248">
        <v>10800</v>
      </c>
      <c r="BA56" s="249">
        <v>10800</v>
      </c>
      <c r="BB56" s="96">
        <v>12420</v>
      </c>
      <c r="BC56" s="248">
        <v>9180</v>
      </c>
      <c r="BD56" s="249">
        <v>8100</v>
      </c>
      <c r="BE56" s="96">
        <v>10440</v>
      </c>
      <c r="BF56" s="248">
        <v>6840</v>
      </c>
      <c r="BG56" s="249">
        <v>10800</v>
      </c>
      <c r="BH56" s="96">
        <v>8280</v>
      </c>
      <c r="BI56" s="248">
        <v>9360</v>
      </c>
      <c r="BJ56" s="249">
        <v>13500</v>
      </c>
      <c r="BK56" s="96">
        <v>3960</v>
      </c>
      <c r="BL56" s="248">
        <v>18900</v>
      </c>
      <c r="BM56" s="249">
        <v>2700</v>
      </c>
      <c r="BN56" s="96">
        <v>10080</v>
      </c>
      <c r="BO56" s="248">
        <v>11520</v>
      </c>
      <c r="BP56" s="249">
        <v>13500</v>
      </c>
      <c r="BQ56" s="96"/>
      <c r="BR56" s="248"/>
      <c r="BS56" s="249">
        <v>24300</v>
      </c>
      <c r="BT56" s="96"/>
      <c r="BU56" s="248"/>
      <c r="BV56" s="249">
        <v>8100</v>
      </c>
      <c r="BW56" s="96"/>
      <c r="BX56" s="248"/>
    </row>
    <row r="57" spans="1:76" x14ac:dyDescent="0.45">
      <c r="A57" s="231"/>
      <c r="B57" s="233"/>
      <c r="C57" s="235"/>
      <c r="D57" s="66"/>
      <c r="E57" s="15"/>
      <c r="F57" s="14"/>
      <c r="G57" s="27" t="s">
        <v>59</v>
      </c>
      <c r="H57" s="237"/>
      <c r="I57" s="18"/>
      <c r="J57" s="229"/>
      <c r="K57" s="237"/>
      <c r="L57" s="18"/>
      <c r="M57" s="229"/>
      <c r="N57" s="237"/>
      <c r="O57" s="18">
        <v>2700</v>
      </c>
      <c r="P57" s="229"/>
      <c r="Q57" s="237"/>
      <c r="R57" s="18">
        <v>2700</v>
      </c>
      <c r="S57" s="229"/>
      <c r="T57" s="237"/>
      <c r="U57" s="18"/>
      <c r="V57" s="229"/>
      <c r="W57" s="244"/>
      <c r="X57" s="96"/>
      <c r="Y57" s="229"/>
      <c r="Z57" s="244"/>
      <c r="AA57" s="96"/>
      <c r="AB57" s="229"/>
      <c r="AC57" s="244"/>
      <c r="AD57" s="96"/>
      <c r="AE57" s="229"/>
      <c r="AF57" s="244"/>
      <c r="AG57" s="96"/>
      <c r="AH57" s="229"/>
      <c r="AI57" s="244"/>
      <c r="AJ57" s="96"/>
      <c r="AK57" s="229"/>
      <c r="AL57" s="244"/>
      <c r="AM57" s="96"/>
      <c r="AN57" s="229"/>
      <c r="AO57" s="244"/>
      <c r="AP57" s="96">
        <v>2700</v>
      </c>
      <c r="AQ57" s="229"/>
      <c r="AR57" s="244"/>
      <c r="AS57" s="96"/>
      <c r="AT57" s="229"/>
      <c r="AU57" s="244"/>
      <c r="AV57" s="96"/>
      <c r="AW57" s="229"/>
      <c r="AX57" s="244"/>
      <c r="AY57" s="96"/>
      <c r="AZ57" s="229"/>
      <c r="BA57" s="244"/>
      <c r="BB57" s="96"/>
      <c r="BC57" s="229"/>
      <c r="BD57" s="244"/>
      <c r="BE57" s="96"/>
      <c r="BF57" s="229"/>
      <c r="BG57" s="244"/>
      <c r="BH57" s="96"/>
      <c r="BI57" s="229"/>
      <c r="BJ57" s="244"/>
      <c r="BK57" s="96"/>
      <c r="BL57" s="229"/>
      <c r="BM57" s="244"/>
      <c r="BN57" s="96"/>
      <c r="BO57" s="229"/>
      <c r="BP57" s="244"/>
      <c r="BQ57" s="96"/>
      <c r="BR57" s="229"/>
      <c r="BS57" s="244"/>
      <c r="BT57" s="96"/>
      <c r="BU57" s="229"/>
      <c r="BV57" s="244"/>
      <c r="BW57" s="96"/>
      <c r="BX57" s="229"/>
    </row>
    <row r="58" spans="1:76" ht="18" thickBot="1" x14ac:dyDescent="0.5">
      <c r="A58" s="82">
        <v>35</v>
      </c>
      <c r="B58" s="120" t="s">
        <v>68</v>
      </c>
      <c r="C58" s="121" t="s">
        <v>106</v>
      </c>
      <c r="D58" s="69">
        <v>336</v>
      </c>
      <c r="E58" s="49"/>
      <c r="F58" s="48">
        <v>336</v>
      </c>
      <c r="G58" s="50"/>
      <c r="H58" s="33"/>
      <c r="I58" s="51"/>
      <c r="J58" s="31">
        <v>336</v>
      </c>
      <c r="K58" s="33"/>
      <c r="L58" s="51">
        <v>336</v>
      </c>
      <c r="M58" s="31"/>
      <c r="N58" s="33"/>
      <c r="O58" s="51"/>
      <c r="P58" s="31"/>
      <c r="Q58" s="33">
        <v>336</v>
      </c>
      <c r="R58" s="51">
        <v>336</v>
      </c>
      <c r="S58" s="31"/>
      <c r="T58" s="33"/>
      <c r="U58" s="51"/>
      <c r="V58" s="31"/>
      <c r="W58" s="91">
        <v>336</v>
      </c>
      <c r="X58" s="101">
        <v>120</v>
      </c>
      <c r="Y58" s="31">
        <v>216</v>
      </c>
      <c r="Z58" s="91"/>
      <c r="AA58" s="101"/>
      <c r="AB58" s="31">
        <v>216</v>
      </c>
      <c r="AC58" s="91"/>
      <c r="AD58" s="101"/>
      <c r="AE58" s="31">
        <v>216</v>
      </c>
      <c r="AF58" s="91"/>
      <c r="AG58" s="101"/>
      <c r="AH58" s="31">
        <v>216</v>
      </c>
      <c r="AI58" s="91"/>
      <c r="AJ58" s="101"/>
      <c r="AK58" s="31">
        <v>216</v>
      </c>
      <c r="AL58" s="91"/>
      <c r="AM58" s="101"/>
      <c r="AN58" s="31">
        <v>216</v>
      </c>
      <c r="AO58" s="91"/>
      <c r="AP58" s="101">
        <v>180</v>
      </c>
      <c r="AQ58" s="31">
        <v>36</v>
      </c>
      <c r="AR58" s="91"/>
      <c r="AS58" s="101"/>
      <c r="AT58" s="31">
        <v>36</v>
      </c>
      <c r="AU58" s="91"/>
      <c r="AV58" s="101"/>
      <c r="AW58" s="31">
        <v>36</v>
      </c>
      <c r="AX58" s="91">
        <v>324</v>
      </c>
      <c r="AY58" s="101">
        <v>360</v>
      </c>
      <c r="AZ58" s="31"/>
      <c r="BA58" s="91"/>
      <c r="BB58" s="101"/>
      <c r="BC58" s="31"/>
      <c r="BD58" s="91"/>
      <c r="BE58" s="101"/>
      <c r="BF58" s="31"/>
      <c r="BG58" s="91">
        <v>360</v>
      </c>
      <c r="BH58" s="101">
        <v>360</v>
      </c>
      <c r="BI58" s="31"/>
      <c r="BJ58" s="91">
        <v>360</v>
      </c>
      <c r="BK58" s="101"/>
      <c r="BL58" s="31">
        <v>360</v>
      </c>
      <c r="BM58" s="91"/>
      <c r="BN58" s="101"/>
      <c r="BO58" s="31"/>
      <c r="BP58" s="91"/>
      <c r="BQ58" s="101"/>
      <c r="BR58" s="31"/>
      <c r="BS58" s="91"/>
      <c r="BT58" s="101"/>
      <c r="BU58" s="31"/>
      <c r="BV58" s="91"/>
      <c r="BW58" s="101"/>
      <c r="BX58" s="31"/>
    </row>
    <row r="59" spans="1:76" ht="18" thickBot="1" x14ac:dyDescent="0.5">
      <c r="A59" s="84"/>
      <c r="B59" s="270" t="s">
        <v>52</v>
      </c>
      <c r="C59" s="271"/>
      <c r="D59" s="70">
        <f>SUM(D6:D56)</f>
        <v>194172.5</v>
      </c>
      <c r="E59" s="55">
        <f>SUM(E6:E56)</f>
        <v>0</v>
      </c>
      <c r="F59" s="54">
        <f>SUM(F6:F56)</f>
        <v>188233</v>
      </c>
      <c r="G59" s="56"/>
      <c r="H59" s="58">
        <f t="shared" ref="H59:AN59" si="21">SUM(H4:H58)</f>
        <v>128752.5</v>
      </c>
      <c r="I59" s="57">
        <f t="shared" si="21"/>
        <v>97347.5</v>
      </c>
      <c r="J59" s="59">
        <f t="shared" si="21"/>
        <v>189383.5</v>
      </c>
      <c r="K59" s="58">
        <f t="shared" si="21"/>
        <v>105447.5</v>
      </c>
      <c r="L59" s="57">
        <f t="shared" si="21"/>
        <v>115236</v>
      </c>
      <c r="M59" s="59">
        <f t="shared" si="21"/>
        <v>175025</v>
      </c>
      <c r="N59" s="58">
        <f t="shared" si="21"/>
        <v>149360</v>
      </c>
      <c r="O59" s="57">
        <f t="shared" si="21"/>
        <v>150100</v>
      </c>
      <c r="P59" s="59">
        <f t="shared" si="21"/>
        <v>169775</v>
      </c>
      <c r="Q59" s="58">
        <f t="shared" si="21"/>
        <v>152296</v>
      </c>
      <c r="R59" s="57">
        <f t="shared" si="21"/>
        <v>137196</v>
      </c>
      <c r="S59" s="59">
        <f t="shared" si="21"/>
        <v>180955</v>
      </c>
      <c r="T59" s="58">
        <f t="shared" si="21"/>
        <v>139980</v>
      </c>
      <c r="U59" s="57">
        <f t="shared" si="21"/>
        <v>145452.5</v>
      </c>
      <c r="V59" s="59">
        <f t="shared" si="21"/>
        <v>172423</v>
      </c>
      <c r="W59" s="94">
        <f t="shared" si="21"/>
        <v>155721</v>
      </c>
      <c r="X59" s="102">
        <f t="shared" si="21"/>
        <v>124870</v>
      </c>
      <c r="Y59" s="59">
        <f t="shared" si="21"/>
        <v>199163.5</v>
      </c>
      <c r="Z59" s="94">
        <f t="shared" si="21"/>
        <v>122610</v>
      </c>
      <c r="AA59" s="102">
        <f t="shared" si="21"/>
        <v>110555</v>
      </c>
      <c r="AB59" s="59">
        <f t="shared" si="21"/>
        <v>204899</v>
      </c>
      <c r="AC59" s="94">
        <f t="shared" si="21"/>
        <v>144840</v>
      </c>
      <c r="AD59" s="102">
        <f t="shared" si="21"/>
        <v>116042.5</v>
      </c>
      <c r="AE59" s="59">
        <f t="shared" si="21"/>
        <v>230721</v>
      </c>
      <c r="AF59" s="94">
        <f t="shared" si="21"/>
        <v>133002.5</v>
      </c>
      <c r="AG59" s="102">
        <f t="shared" si="21"/>
        <v>132372.5</v>
      </c>
      <c r="AH59" s="59">
        <f t="shared" si="21"/>
        <v>221318.5</v>
      </c>
      <c r="AI59" s="94">
        <f t="shared" si="21"/>
        <v>120570</v>
      </c>
      <c r="AJ59" s="102">
        <f>SUM(AJ4:AJ58)</f>
        <v>139902.5</v>
      </c>
      <c r="AK59" s="59">
        <f t="shared" si="21"/>
        <v>195916</v>
      </c>
      <c r="AL59" s="94">
        <f t="shared" si="21"/>
        <v>116097.5</v>
      </c>
      <c r="AM59" s="102">
        <f t="shared" si="21"/>
        <v>131045</v>
      </c>
      <c r="AN59" s="59">
        <f t="shared" si="21"/>
        <v>174711</v>
      </c>
      <c r="AO59" s="94">
        <f>SUM(AO4:AO58)</f>
        <v>125680</v>
      </c>
      <c r="AP59" s="102">
        <f t="shared" ref="AP59:AQ59" si="22">SUM(AP4:AP58)</f>
        <v>137807.5</v>
      </c>
      <c r="AQ59" s="59">
        <f t="shared" si="22"/>
        <v>158116</v>
      </c>
      <c r="AR59" s="94">
        <f>SUM(AR4:AR58)</f>
        <v>152520</v>
      </c>
      <c r="AS59" s="102">
        <f t="shared" ref="AS59:BF59" si="23">SUM(AS4:AS58)</f>
        <v>111215</v>
      </c>
      <c r="AT59" s="59">
        <f t="shared" si="23"/>
        <v>192331</v>
      </c>
      <c r="AU59" s="94">
        <f t="shared" si="23"/>
        <v>135535</v>
      </c>
      <c r="AV59" s="102">
        <f t="shared" si="23"/>
        <v>129745</v>
      </c>
      <c r="AW59" s="59">
        <f t="shared" si="23"/>
        <v>185838.5</v>
      </c>
      <c r="AX59" s="94">
        <f t="shared" si="23"/>
        <v>150834</v>
      </c>
      <c r="AY59" s="102">
        <f t="shared" si="23"/>
        <v>174930</v>
      </c>
      <c r="AZ59" s="59">
        <f t="shared" si="23"/>
        <v>163477.5</v>
      </c>
      <c r="BA59" s="94">
        <f t="shared" si="23"/>
        <v>139825</v>
      </c>
      <c r="BB59" s="102">
        <f>SUM(BB4:BB58)</f>
        <v>145937.5</v>
      </c>
      <c r="BC59" s="59">
        <f t="shared" si="23"/>
        <v>151942.5</v>
      </c>
      <c r="BD59" s="94">
        <f t="shared" si="23"/>
        <v>187850</v>
      </c>
      <c r="BE59" s="102">
        <f t="shared" si="23"/>
        <v>134150</v>
      </c>
      <c r="BF59" s="59">
        <f t="shared" si="23"/>
        <v>199730</v>
      </c>
      <c r="BG59" s="94">
        <f>SUM(BG4:BG58)</f>
        <v>129555</v>
      </c>
      <c r="BH59" s="102">
        <f>SUM(BH4:BH58)</f>
        <v>127442.5</v>
      </c>
      <c r="BI59" s="59">
        <f>SUM(BI4:BI58)</f>
        <v>196868</v>
      </c>
      <c r="BJ59" s="94">
        <f>SUM(BJ4:BJ58)</f>
        <v>174290</v>
      </c>
      <c r="BK59" s="102">
        <f t="shared" ref="BK59:BX59" si="24">SUM(BK4:BK58)</f>
        <v>146252.5</v>
      </c>
      <c r="BL59" s="59">
        <f t="shared" si="24"/>
        <v>236455.5</v>
      </c>
      <c r="BM59" s="94">
        <f t="shared" si="24"/>
        <v>57780</v>
      </c>
      <c r="BN59" s="102">
        <f t="shared" si="24"/>
        <v>114080</v>
      </c>
      <c r="BO59" s="59">
        <f t="shared" si="24"/>
        <v>165615.5</v>
      </c>
      <c r="BP59" s="94">
        <f t="shared" si="24"/>
        <v>204820</v>
      </c>
      <c r="BQ59" s="102">
        <f t="shared" si="24"/>
        <v>0</v>
      </c>
      <c r="BR59" s="59">
        <f t="shared" si="24"/>
        <v>0</v>
      </c>
      <c r="BS59" s="94">
        <f t="shared" si="24"/>
        <v>177038</v>
      </c>
      <c r="BT59" s="102">
        <f t="shared" si="24"/>
        <v>0</v>
      </c>
      <c r="BU59" s="59">
        <f t="shared" si="24"/>
        <v>0</v>
      </c>
      <c r="BV59" s="94">
        <f t="shared" si="24"/>
        <v>131910</v>
      </c>
      <c r="BW59" s="102">
        <f t="shared" si="24"/>
        <v>0</v>
      </c>
      <c r="BX59" s="59">
        <f t="shared" si="24"/>
        <v>0</v>
      </c>
    </row>
    <row r="61" spans="1:76" ht="19.8" hidden="1" thickBot="1" x14ac:dyDescent="0.5">
      <c r="A61" s="107"/>
      <c r="B61" s="113" t="s">
        <v>115</v>
      </c>
      <c r="C61" s="108"/>
      <c r="D61" s="109"/>
      <c r="E61" s="109"/>
      <c r="F61" s="109"/>
      <c r="G61" s="109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  <c r="BB61" s="110"/>
      <c r="BC61" s="110"/>
      <c r="BD61" s="110"/>
      <c r="BE61" s="110"/>
      <c r="BF61" s="110"/>
      <c r="BG61" s="110"/>
      <c r="BH61" s="110"/>
      <c r="BI61" s="110"/>
      <c r="BJ61" s="110"/>
      <c r="BK61" s="110"/>
      <c r="BL61" s="110"/>
      <c r="BM61" s="110"/>
      <c r="BN61" s="110"/>
      <c r="BO61" s="110"/>
      <c r="BP61" s="110"/>
      <c r="BQ61" s="110"/>
      <c r="BR61" s="110"/>
      <c r="BS61" s="110"/>
      <c r="BT61" s="110"/>
      <c r="BU61" s="110"/>
      <c r="BV61" s="110"/>
      <c r="BW61" s="110"/>
      <c r="BX61" s="110"/>
    </row>
    <row r="62" spans="1:76" hidden="1" x14ac:dyDescent="0.45">
      <c r="A62" s="106">
        <v>40</v>
      </c>
      <c r="B62" s="60" t="s">
        <v>122</v>
      </c>
      <c r="C62" s="79" t="s">
        <v>119</v>
      </c>
      <c r="D62" s="65">
        <v>120</v>
      </c>
      <c r="E62" s="45"/>
      <c r="F62" s="44">
        <v>120</v>
      </c>
      <c r="G62" s="46" t="s">
        <v>116</v>
      </c>
      <c r="H62" s="52">
        <v>280</v>
      </c>
      <c r="I62" s="47"/>
      <c r="J62" s="53">
        <v>400</v>
      </c>
      <c r="K62" s="52"/>
      <c r="L62" s="47">
        <v>160</v>
      </c>
      <c r="M62" s="53">
        <v>200</v>
      </c>
      <c r="N62" s="52">
        <v>840</v>
      </c>
      <c r="O62" s="47">
        <v>60</v>
      </c>
      <c r="P62" s="53">
        <v>980</v>
      </c>
      <c r="Q62" s="52"/>
      <c r="R62" s="47">
        <v>240</v>
      </c>
      <c r="S62" s="53">
        <v>740</v>
      </c>
      <c r="T62" s="52"/>
      <c r="U62" s="47">
        <v>220</v>
      </c>
      <c r="V62" s="53">
        <v>520</v>
      </c>
      <c r="W62" s="93"/>
      <c r="X62" s="95"/>
      <c r="Y62" s="53">
        <v>300</v>
      </c>
      <c r="Z62" s="93"/>
      <c r="AA62" s="95"/>
      <c r="AB62" s="53">
        <v>300</v>
      </c>
      <c r="AC62" s="93"/>
      <c r="AD62" s="95"/>
      <c r="AE62" s="53">
        <v>300</v>
      </c>
      <c r="AF62" s="93"/>
      <c r="AG62" s="95"/>
      <c r="AH62" s="53">
        <v>300</v>
      </c>
      <c r="AI62" s="93"/>
      <c r="AJ62" s="95"/>
      <c r="AK62" s="53">
        <v>300</v>
      </c>
      <c r="AL62" s="93"/>
      <c r="AM62" s="95"/>
      <c r="AN62" s="53">
        <v>300</v>
      </c>
      <c r="AO62" s="93"/>
      <c r="AP62" s="95"/>
      <c r="AQ62" s="53">
        <v>300</v>
      </c>
      <c r="AR62" s="93"/>
      <c r="AS62" s="95"/>
      <c r="AT62" s="53">
        <v>300</v>
      </c>
      <c r="AU62" s="93"/>
      <c r="AV62" s="95"/>
      <c r="AW62" s="53">
        <v>300</v>
      </c>
      <c r="AX62" s="93"/>
      <c r="AY62" s="95"/>
      <c r="AZ62" s="53">
        <v>300</v>
      </c>
      <c r="BA62" s="93"/>
      <c r="BB62" s="95"/>
      <c r="BC62" s="53">
        <v>300</v>
      </c>
      <c r="BD62" s="93"/>
      <c r="BE62" s="95"/>
      <c r="BF62" s="53">
        <v>300</v>
      </c>
      <c r="BG62" s="93"/>
      <c r="BH62" s="95"/>
      <c r="BI62" s="53">
        <v>300</v>
      </c>
      <c r="BJ62" s="93"/>
      <c r="BK62" s="95"/>
      <c r="BL62" s="53">
        <v>300</v>
      </c>
      <c r="BM62" s="93"/>
      <c r="BN62" s="95"/>
      <c r="BO62" s="53">
        <v>300</v>
      </c>
      <c r="BP62" s="93"/>
      <c r="BQ62" s="95"/>
      <c r="BR62" s="53">
        <v>300</v>
      </c>
      <c r="BS62" s="93"/>
      <c r="BT62" s="95"/>
      <c r="BU62" s="53">
        <v>300</v>
      </c>
      <c r="BV62" s="93"/>
      <c r="BW62" s="95"/>
      <c r="BX62" s="53">
        <v>300</v>
      </c>
    </row>
    <row r="63" spans="1:76" hidden="1" x14ac:dyDescent="0.45">
      <c r="A63" s="82"/>
      <c r="B63" s="61"/>
      <c r="C63" s="71" t="s">
        <v>120</v>
      </c>
      <c r="D63" s="66">
        <v>1000</v>
      </c>
      <c r="E63" s="15"/>
      <c r="F63" s="14">
        <v>1000</v>
      </c>
      <c r="G63" s="27" t="s">
        <v>116</v>
      </c>
      <c r="H63" s="16">
        <v>560</v>
      </c>
      <c r="I63" s="18">
        <v>200</v>
      </c>
      <c r="J63" s="19">
        <v>1360</v>
      </c>
      <c r="K63" s="16"/>
      <c r="L63" s="18">
        <v>200</v>
      </c>
      <c r="M63" s="19">
        <v>1160</v>
      </c>
      <c r="N63" s="16"/>
      <c r="O63" s="18">
        <v>120</v>
      </c>
      <c r="P63" s="19">
        <v>1040</v>
      </c>
      <c r="Q63" s="16"/>
      <c r="R63" s="18">
        <v>200</v>
      </c>
      <c r="S63" s="19">
        <v>840</v>
      </c>
      <c r="T63" s="16"/>
      <c r="U63" s="18"/>
      <c r="V63" s="19">
        <v>840</v>
      </c>
      <c r="W63" s="89"/>
      <c r="X63" s="96"/>
      <c r="Y63" s="19">
        <v>1250</v>
      </c>
      <c r="Z63" s="89"/>
      <c r="AA63" s="96"/>
      <c r="AB63" s="19">
        <v>1250</v>
      </c>
      <c r="AC63" s="89"/>
      <c r="AD63" s="96"/>
      <c r="AE63" s="19">
        <v>1250</v>
      </c>
      <c r="AF63" s="89"/>
      <c r="AG63" s="96"/>
      <c r="AH63" s="19">
        <v>1250</v>
      </c>
      <c r="AI63" s="89"/>
      <c r="AJ63" s="96"/>
      <c r="AK63" s="19">
        <v>1250</v>
      </c>
      <c r="AL63" s="89"/>
      <c r="AM63" s="96"/>
      <c r="AN63" s="19">
        <v>1250</v>
      </c>
      <c r="AO63" s="89"/>
      <c r="AP63" s="96"/>
      <c r="AQ63" s="19">
        <v>1250</v>
      </c>
      <c r="AR63" s="89"/>
      <c r="AS63" s="96"/>
      <c r="AT63" s="19">
        <v>1250</v>
      </c>
      <c r="AU63" s="89"/>
      <c r="AV63" s="96"/>
      <c r="AW63" s="19">
        <v>1250</v>
      </c>
      <c r="AX63" s="89"/>
      <c r="AY63" s="96"/>
      <c r="AZ63" s="19">
        <v>1250</v>
      </c>
      <c r="BA63" s="89"/>
      <c r="BB63" s="96"/>
      <c r="BC63" s="19">
        <v>1250</v>
      </c>
      <c r="BD63" s="89"/>
      <c r="BE63" s="96">
        <v>1250</v>
      </c>
      <c r="BF63" s="19">
        <v>0</v>
      </c>
      <c r="BG63" s="89"/>
      <c r="BH63" s="96"/>
      <c r="BI63" s="19">
        <v>0</v>
      </c>
      <c r="BJ63" s="89"/>
      <c r="BK63" s="96"/>
      <c r="BL63" s="19">
        <v>0</v>
      </c>
      <c r="BM63" s="89"/>
      <c r="BN63" s="96"/>
      <c r="BO63" s="19">
        <v>0</v>
      </c>
      <c r="BP63" s="89"/>
      <c r="BQ63" s="96"/>
      <c r="BR63" s="19">
        <v>0</v>
      </c>
      <c r="BS63" s="89"/>
      <c r="BT63" s="96"/>
      <c r="BU63" s="19">
        <v>0</v>
      </c>
      <c r="BV63" s="89"/>
      <c r="BW63" s="96"/>
      <c r="BX63" s="19">
        <v>0</v>
      </c>
    </row>
    <row r="64" spans="1:76" hidden="1" x14ac:dyDescent="0.45">
      <c r="A64" s="82"/>
      <c r="B64" s="77" t="s">
        <v>65</v>
      </c>
      <c r="C64" s="78" t="s">
        <v>118</v>
      </c>
      <c r="D64" s="66">
        <v>280</v>
      </c>
      <c r="E64" s="15"/>
      <c r="F64" s="14">
        <v>280</v>
      </c>
      <c r="G64" s="27" t="s">
        <v>117</v>
      </c>
      <c r="H64" s="16"/>
      <c r="I64" s="18"/>
      <c r="J64" s="19">
        <v>280</v>
      </c>
      <c r="K64" s="16"/>
      <c r="L64" s="18"/>
      <c r="M64" s="19">
        <v>280</v>
      </c>
      <c r="N64" s="16"/>
      <c r="O64" s="18">
        <v>20</v>
      </c>
      <c r="P64" s="19">
        <v>260</v>
      </c>
      <c r="Q64" s="16"/>
      <c r="R64" s="18">
        <v>40</v>
      </c>
      <c r="S64" s="19">
        <v>220</v>
      </c>
      <c r="T64" s="16"/>
      <c r="U64" s="18"/>
      <c r="V64" s="19">
        <v>220</v>
      </c>
      <c r="W64" s="89"/>
      <c r="X64" s="96"/>
      <c r="Y64" s="19">
        <v>712.5</v>
      </c>
      <c r="Z64" s="89"/>
      <c r="AA64" s="96"/>
      <c r="AB64" s="19">
        <v>712.5</v>
      </c>
      <c r="AC64" s="89"/>
      <c r="AD64" s="96"/>
      <c r="AE64" s="19">
        <v>712.5</v>
      </c>
      <c r="AF64" s="89"/>
      <c r="AG64" s="96"/>
      <c r="AH64" s="19">
        <v>712.5</v>
      </c>
      <c r="AI64" s="89"/>
      <c r="AJ64" s="96"/>
      <c r="AK64" s="19">
        <v>712.5</v>
      </c>
      <c r="AL64" s="89"/>
      <c r="AM64" s="96"/>
      <c r="AN64" s="19">
        <v>712.5</v>
      </c>
      <c r="AO64" s="89"/>
      <c r="AP64" s="96"/>
      <c r="AQ64" s="19">
        <v>712.5</v>
      </c>
      <c r="AR64" s="89"/>
      <c r="AS64" s="96"/>
      <c r="AT64" s="19">
        <v>712.5</v>
      </c>
      <c r="AU64" s="89"/>
      <c r="AV64" s="96"/>
      <c r="AW64" s="19">
        <v>712.5</v>
      </c>
      <c r="AX64" s="89"/>
      <c r="AY64" s="96">
        <v>612.5</v>
      </c>
      <c r="AZ64" s="19">
        <v>0</v>
      </c>
      <c r="BA64" s="89"/>
      <c r="BB64" s="96"/>
      <c r="BC64" s="19">
        <v>0</v>
      </c>
      <c r="BD64" s="89"/>
      <c r="BE64" s="96"/>
      <c r="BF64" s="19">
        <v>0</v>
      </c>
      <c r="BG64" s="89"/>
      <c r="BH64" s="96"/>
      <c r="BI64" s="19">
        <v>0</v>
      </c>
      <c r="BJ64" s="89"/>
      <c r="BK64" s="96"/>
      <c r="BL64" s="19">
        <v>0</v>
      </c>
      <c r="BM64" s="89"/>
      <c r="BN64" s="96"/>
      <c r="BO64" s="19">
        <v>0</v>
      </c>
      <c r="BP64" s="89"/>
      <c r="BQ64" s="96"/>
      <c r="BR64" s="19">
        <v>0</v>
      </c>
      <c r="BS64" s="89"/>
      <c r="BT64" s="96"/>
      <c r="BU64" s="19">
        <v>0</v>
      </c>
      <c r="BV64" s="89"/>
      <c r="BW64" s="96"/>
      <c r="BX64" s="19">
        <v>0</v>
      </c>
    </row>
    <row r="65" spans="1:76" hidden="1" x14ac:dyDescent="0.45">
      <c r="A65" s="179"/>
      <c r="B65" s="77" t="s">
        <v>65</v>
      </c>
      <c r="C65" s="78" t="s">
        <v>133</v>
      </c>
      <c r="D65" s="69"/>
      <c r="E65" s="49"/>
      <c r="F65" s="48"/>
      <c r="G65" s="50" t="s">
        <v>134</v>
      </c>
      <c r="H65" s="33"/>
      <c r="I65" s="51"/>
      <c r="J65" s="31"/>
      <c r="K65" s="33"/>
      <c r="L65" s="51"/>
      <c r="M65" s="31"/>
      <c r="N65" s="33"/>
      <c r="O65" s="51"/>
      <c r="P65" s="31"/>
      <c r="Q65" s="33"/>
      <c r="R65" s="51"/>
      <c r="S65" s="31"/>
      <c r="T65" s="33"/>
      <c r="U65" s="51"/>
      <c r="V65" s="31"/>
      <c r="W65" s="91"/>
      <c r="X65" s="101"/>
      <c r="Y65" s="31"/>
      <c r="Z65" s="91"/>
      <c r="AA65" s="101"/>
      <c r="AB65" s="31"/>
      <c r="AC65" s="91"/>
      <c r="AD65" s="101"/>
      <c r="AE65" s="31"/>
      <c r="AF65" s="91"/>
      <c r="AG65" s="101"/>
      <c r="AH65" s="31"/>
      <c r="AI65" s="91"/>
      <c r="AJ65" s="101"/>
      <c r="AK65" s="31"/>
      <c r="AL65" s="91"/>
      <c r="AM65" s="101"/>
      <c r="AN65" s="31"/>
      <c r="AO65" s="91"/>
      <c r="AP65" s="101"/>
      <c r="AQ65" s="31"/>
      <c r="AR65" s="91"/>
      <c r="AS65" s="101"/>
      <c r="AT65" s="31"/>
      <c r="AU65" s="91"/>
      <c r="AV65" s="101"/>
      <c r="AW65" s="31"/>
      <c r="AX65" s="91"/>
      <c r="AY65" s="101"/>
      <c r="AZ65" s="31"/>
      <c r="BA65" s="91"/>
      <c r="BB65" s="101"/>
      <c r="BC65" s="31"/>
      <c r="BD65" s="91"/>
      <c r="BE65" s="101"/>
      <c r="BF65" s="31">
        <v>300</v>
      </c>
      <c r="BG65" s="91"/>
      <c r="BH65" s="101">
        <v>300</v>
      </c>
      <c r="BI65" s="31">
        <v>0</v>
      </c>
      <c r="BJ65" s="91"/>
      <c r="BK65" s="101"/>
      <c r="BL65" s="31">
        <v>0</v>
      </c>
      <c r="BM65" s="91"/>
      <c r="BN65" s="101"/>
      <c r="BO65" s="31">
        <v>0</v>
      </c>
      <c r="BP65" s="91"/>
      <c r="BQ65" s="101"/>
      <c r="BR65" s="31">
        <v>0</v>
      </c>
      <c r="BS65" s="91"/>
      <c r="BT65" s="101"/>
      <c r="BU65" s="31">
        <v>0</v>
      </c>
      <c r="BV65" s="91"/>
      <c r="BW65" s="101"/>
      <c r="BX65" s="31">
        <v>0</v>
      </c>
    </row>
    <row r="66" spans="1:76" ht="18" hidden="1" thickBot="1" x14ac:dyDescent="0.5">
      <c r="A66" s="84">
        <v>41</v>
      </c>
      <c r="B66" s="111" t="s">
        <v>123</v>
      </c>
      <c r="C66" s="112" t="s">
        <v>121</v>
      </c>
      <c r="D66" s="67">
        <v>320</v>
      </c>
      <c r="E66" s="29"/>
      <c r="F66" s="28">
        <v>320</v>
      </c>
      <c r="G66" s="30"/>
      <c r="H66" s="21"/>
      <c r="I66" s="20">
        <v>60</v>
      </c>
      <c r="J66" s="22">
        <v>260</v>
      </c>
      <c r="K66" s="21"/>
      <c r="L66" s="20">
        <v>20</v>
      </c>
      <c r="M66" s="22">
        <v>240</v>
      </c>
      <c r="N66" s="21"/>
      <c r="O66" s="20">
        <v>40</v>
      </c>
      <c r="P66" s="22">
        <v>200</v>
      </c>
      <c r="Q66" s="21"/>
      <c r="R66" s="20">
        <v>100</v>
      </c>
      <c r="S66" s="22">
        <v>100</v>
      </c>
      <c r="T66" s="21"/>
      <c r="U66" s="20"/>
      <c r="V66" s="22">
        <v>100</v>
      </c>
      <c r="W66" s="90"/>
      <c r="X66" s="97"/>
      <c r="Y66" s="22">
        <v>60</v>
      </c>
      <c r="Z66" s="90"/>
      <c r="AA66" s="97"/>
      <c r="AB66" s="22">
        <v>60</v>
      </c>
      <c r="AC66" s="90"/>
      <c r="AD66" s="97"/>
      <c r="AE66" s="22">
        <v>60</v>
      </c>
      <c r="AF66" s="90"/>
      <c r="AG66" s="97"/>
      <c r="AH66" s="22">
        <v>60</v>
      </c>
      <c r="AI66" s="90"/>
      <c r="AJ66" s="97"/>
      <c r="AK66" s="22">
        <v>60</v>
      </c>
      <c r="AL66" s="90"/>
      <c r="AM66" s="97"/>
      <c r="AN66" s="22">
        <v>60</v>
      </c>
      <c r="AO66" s="90"/>
      <c r="AP66" s="97"/>
      <c r="AQ66" s="22">
        <v>60</v>
      </c>
      <c r="AR66" s="90"/>
      <c r="AS66" s="97"/>
      <c r="AT66" s="22">
        <v>60</v>
      </c>
      <c r="AU66" s="90"/>
      <c r="AV66" s="97"/>
      <c r="AW66" s="22">
        <v>60</v>
      </c>
      <c r="AX66" s="90"/>
      <c r="AY66" s="97"/>
      <c r="AZ66" s="22">
        <v>60</v>
      </c>
      <c r="BA66" s="90"/>
      <c r="BB66" s="97"/>
      <c r="BC66" s="22">
        <v>60</v>
      </c>
      <c r="BD66" s="90"/>
      <c r="BE66" s="97"/>
      <c r="BF66" s="22">
        <v>60</v>
      </c>
      <c r="BG66" s="90"/>
      <c r="BH66" s="97"/>
      <c r="BI66" s="22">
        <v>60</v>
      </c>
      <c r="BJ66" s="90"/>
      <c r="BK66" s="97"/>
      <c r="BL66" s="22">
        <v>60</v>
      </c>
      <c r="BM66" s="90"/>
      <c r="BN66" s="97"/>
      <c r="BO66" s="22">
        <v>60</v>
      </c>
      <c r="BP66" s="90"/>
      <c r="BQ66" s="97"/>
      <c r="BR66" s="22">
        <v>60</v>
      </c>
      <c r="BS66" s="90"/>
      <c r="BT66" s="97"/>
      <c r="BU66" s="22">
        <v>60</v>
      </c>
      <c r="BV66" s="90"/>
      <c r="BW66" s="97"/>
      <c r="BX66" s="22">
        <v>60</v>
      </c>
    </row>
    <row r="68" spans="1:76" x14ac:dyDescent="0.45">
      <c r="C68" s="80"/>
      <c r="G68" s="13" t="s">
        <v>107</v>
      </c>
    </row>
    <row r="69" spans="1:76" x14ac:dyDescent="0.45">
      <c r="C69" s="81"/>
      <c r="G69" s="13" t="s">
        <v>108</v>
      </c>
    </row>
  </sheetData>
  <mergeCells count="540">
    <mergeCell ref="BS56:BS57"/>
    <mergeCell ref="BU56:BU57"/>
    <mergeCell ref="BV56:BV57"/>
    <mergeCell ref="BX56:BX57"/>
    <mergeCell ref="B59:C59"/>
    <mergeCell ref="BJ56:BJ57"/>
    <mergeCell ref="BL56:BL57"/>
    <mergeCell ref="BM56:BM57"/>
    <mergeCell ref="BO56:BO57"/>
    <mergeCell ref="BP56:BP57"/>
    <mergeCell ref="BR56:BR57"/>
    <mergeCell ref="BA56:BA57"/>
    <mergeCell ref="BC56:BC57"/>
    <mergeCell ref="BD56:BD57"/>
    <mergeCell ref="BF56:BF57"/>
    <mergeCell ref="BG56:BG57"/>
    <mergeCell ref="BI56:BI57"/>
    <mergeCell ref="AR56:AR57"/>
    <mergeCell ref="AT56:AT57"/>
    <mergeCell ref="AU56:AU57"/>
    <mergeCell ref="AW56:AW57"/>
    <mergeCell ref="AX56:AX57"/>
    <mergeCell ref="AZ56:AZ57"/>
    <mergeCell ref="AI56:AI57"/>
    <mergeCell ref="AK56:AK57"/>
    <mergeCell ref="AL56:AL57"/>
    <mergeCell ref="AN56:AN57"/>
    <mergeCell ref="AO56:AO57"/>
    <mergeCell ref="AQ56:AQ57"/>
    <mergeCell ref="Z56:Z57"/>
    <mergeCell ref="AB56:AB57"/>
    <mergeCell ref="AC56:AC57"/>
    <mergeCell ref="AE56:AE57"/>
    <mergeCell ref="AF56:AF57"/>
    <mergeCell ref="AH56:AH57"/>
    <mergeCell ref="Q56:Q57"/>
    <mergeCell ref="S56:S57"/>
    <mergeCell ref="T56:T57"/>
    <mergeCell ref="V56:V57"/>
    <mergeCell ref="W56:W57"/>
    <mergeCell ref="Y56:Y57"/>
    <mergeCell ref="BX52:BX53"/>
    <mergeCell ref="A56:A57"/>
    <mergeCell ref="B56:B57"/>
    <mergeCell ref="C56:C57"/>
    <mergeCell ref="H56:H57"/>
    <mergeCell ref="J56:J57"/>
    <mergeCell ref="K56:K57"/>
    <mergeCell ref="M56:M57"/>
    <mergeCell ref="N56:N57"/>
    <mergeCell ref="P56:P57"/>
    <mergeCell ref="BO52:BO53"/>
    <mergeCell ref="BP52:BP53"/>
    <mergeCell ref="BR52:BR53"/>
    <mergeCell ref="BS52:BS53"/>
    <mergeCell ref="BU52:BU53"/>
    <mergeCell ref="BV52:BV53"/>
    <mergeCell ref="BF52:BF53"/>
    <mergeCell ref="BG52:BG53"/>
    <mergeCell ref="BI52:BI53"/>
    <mergeCell ref="BJ52:BJ53"/>
    <mergeCell ref="BL52:BL53"/>
    <mergeCell ref="BM52:BM53"/>
    <mergeCell ref="AW52:AW53"/>
    <mergeCell ref="AX52:AX53"/>
    <mergeCell ref="AZ52:AZ53"/>
    <mergeCell ref="BA52:BA53"/>
    <mergeCell ref="BC52:BC53"/>
    <mergeCell ref="BD52:BD53"/>
    <mergeCell ref="AN52:AN53"/>
    <mergeCell ref="AO52:AO53"/>
    <mergeCell ref="AQ52:AQ53"/>
    <mergeCell ref="AR52:AR53"/>
    <mergeCell ref="AT52:AT53"/>
    <mergeCell ref="AU52:AU53"/>
    <mergeCell ref="AE52:AE53"/>
    <mergeCell ref="AF52:AF53"/>
    <mergeCell ref="AH52:AH53"/>
    <mergeCell ref="AI52:AI53"/>
    <mergeCell ref="AK52:AK53"/>
    <mergeCell ref="AL52:AL53"/>
    <mergeCell ref="V52:V53"/>
    <mergeCell ref="W52:W53"/>
    <mergeCell ref="Y52:Y53"/>
    <mergeCell ref="Z52:Z53"/>
    <mergeCell ref="AB52:AB53"/>
    <mergeCell ref="AC52:AC53"/>
    <mergeCell ref="M52:M53"/>
    <mergeCell ref="N52:N53"/>
    <mergeCell ref="P52:P53"/>
    <mergeCell ref="Q52:Q53"/>
    <mergeCell ref="S52:S53"/>
    <mergeCell ref="T52:T53"/>
    <mergeCell ref="BS50:BS51"/>
    <mergeCell ref="BU50:BU51"/>
    <mergeCell ref="BV50:BV51"/>
    <mergeCell ref="BX50:BX51"/>
    <mergeCell ref="A52:A53"/>
    <mergeCell ref="B52:B53"/>
    <mergeCell ref="C52:C53"/>
    <mergeCell ref="H52:H53"/>
    <mergeCell ref="J52:J53"/>
    <mergeCell ref="K52:K53"/>
    <mergeCell ref="BJ50:BJ51"/>
    <mergeCell ref="BL50:BL51"/>
    <mergeCell ref="BM50:BM51"/>
    <mergeCell ref="BO50:BO51"/>
    <mergeCell ref="BP50:BP51"/>
    <mergeCell ref="BR50:BR51"/>
    <mergeCell ref="BA50:BA51"/>
    <mergeCell ref="BC50:BC51"/>
    <mergeCell ref="BD50:BD51"/>
    <mergeCell ref="BF50:BF51"/>
    <mergeCell ref="BG50:BG51"/>
    <mergeCell ref="BI50:BI51"/>
    <mergeCell ref="AR50:AR51"/>
    <mergeCell ref="AT50:AT51"/>
    <mergeCell ref="AU50:AU51"/>
    <mergeCell ref="AW50:AW51"/>
    <mergeCell ref="AX50:AX51"/>
    <mergeCell ref="AZ50:AZ51"/>
    <mergeCell ref="AI50:AI51"/>
    <mergeCell ref="AK50:AK51"/>
    <mergeCell ref="AL50:AL51"/>
    <mergeCell ref="AN50:AN51"/>
    <mergeCell ref="AO50:AO51"/>
    <mergeCell ref="AQ50:AQ51"/>
    <mergeCell ref="Z50:Z51"/>
    <mergeCell ref="AB50:AB51"/>
    <mergeCell ref="AC50:AC51"/>
    <mergeCell ref="AE50:AE51"/>
    <mergeCell ref="AF50:AF51"/>
    <mergeCell ref="AH50:AH51"/>
    <mergeCell ref="Q50:Q51"/>
    <mergeCell ref="S50:S51"/>
    <mergeCell ref="T50:T51"/>
    <mergeCell ref="V50:V51"/>
    <mergeCell ref="W50:W51"/>
    <mergeCell ref="Y50:Y51"/>
    <mergeCell ref="BX46:BX47"/>
    <mergeCell ref="A50:A51"/>
    <mergeCell ref="B50:B51"/>
    <mergeCell ref="C50:C51"/>
    <mergeCell ref="H50:H51"/>
    <mergeCell ref="J50:J51"/>
    <mergeCell ref="K50:K51"/>
    <mergeCell ref="M50:M51"/>
    <mergeCell ref="N50:N51"/>
    <mergeCell ref="P50:P51"/>
    <mergeCell ref="BO46:BO47"/>
    <mergeCell ref="BP46:BP47"/>
    <mergeCell ref="BR46:BR47"/>
    <mergeCell ref="BS46:BS47"/>
    <mergeCell ref="BU46:BU47"/>
    <mergeCell ref="BV46:BV47"/>
    <mergeCell ref="BF46:BF47"/>
    <mergeCell ref="BG46:BG47"/>
    <mergeCell ref="BI46:BI47"/>
    <mergeCell ref="BJ46:BJ47"/>
    <mergeCell ref="BL46:BL47"/>
    <mergeCell ref="BM46:BM47"/>
    <mergeCell ref="AW46:AW47"/>
    <mergeCell ref="AX46:AX47"/>
    <mergeCell ref="AZ46:AZ47"/>
    <mergeCell ref="BA46:BA47"/>
    <mergeCell ref="BC46:BC47"/>
    <mergeCell ref="BD46:BD47"/>
    <mergeCell ref="AN46:AN47"/>
    <mergeCell ref="AO46:AO47"/>
    <mergeCell ref="AQ46:AQ47"/>
    <mergeCell ref="AR46:AR47"/>
    <mergeCell ref="AT46:AT47"/>
    <mergeCell ref="AU46:AU47"/>
    <mergeCell ref="AE46:AE47"/>
    <mergeCell ref="AF46:AF47"/>
    <mergeCell ref="AH46:AH47"/>
    <mergeCell ref="AI46:AI47"/>
    <mergeCell ref="AK46:AK47"/>
    <mergeCell ref="AL46:AL47"/>
    <mergeCell ref="V46:V47"/>
    <mergeCell ref="W46:W47"/>
    <mergeCell ref="Y46:Y47"/>
    <mergeCell ref="Z46:Z47"/>
    <mergeCell ref="AB46:AB47"/>
    <mergeCell ref="AC46:AC47"/>
    <mergeCell ref="M46:M47"/>
    <mergeCell ref="N46:N47"/>
    <mergeCell ref="P46:P47"/>
    <mergeCell ref="Q46:Q47"/>
    <mergeCell ref="S46:S47"/>
    <mergeCell ref="T46:T47"/>
    <mergeCell ref="BS40:BS41"/>
    <mergeCell ref="BU40:BU41"/>
    <mergeCell ref="BV40:BV41"/>
    <mergeCell ref="AZ40:AZ41"/>
    <mergeCell ref="AI40:AI41"/>
    <mergeCell ref="AK40:AK41"/>
    <mergeCell ref="AL40:AL41"/>
    <mergeCell ref="AN40:AN41"/>
    <mergeCell ref="AO40:AO41"/>
    <mergeCell ref="AQ40:AQ41"/>
    <mergeCell ref="Z40:Z41"/>
    <mergeCell ref="AB40:AB41"/>
    <mergeCell ref="AC40:AC41"/>
    <mergeCell ref="AE40:AE41"/>
    <mergeCell ref="AF40:AF41"/>
    <mergeCell ref="AH40:AH41"/>
    <mergeCell ref="Q40:Q41"/>
    <mergeCell ref="S40:S41"/>
    <mergeCell ref="BX40:BX41"/>
    <mergeCell ref="A46:A47"/>
    <mergeCell ref="B46:B47"/>
    <mergeCell ref="C46:C47"/>
    <mergeCell ref="H46:H47"/>
    <mergeCell ref="J46:J47"/>
    <mergeCell ref="K46:K47"/>
    <mergeCell ref="BJ40:BJ41"/>
    <mergeCell ref="BL40:BL41"/>
    <mergeCell ref="BM40:BM41"/>
    <mergeCell ref="BO40:BO41"/>
    <mergeCell ref="BP40:BP41"/>
    <mergeCell ref="BR40:BR41"/>
    <mergeCell ref="BA40:BA41"/>
    <mergeCell ref="BC40:BC41"/>
    <mergeCell ref="BD40:BD41"/>
    <mergeCell ref="BF40:BF41"/>
    <mergeCell ref="BG40:BG41"/>
    <mergeCell ref="BI40:BI41"/>
    <mergeCell ref="AR40:AR41"/>
    <mergeCell ref="AT40:AT41"/>
    <mergeCell ref="AU40:AU41"/>
    <mergeCell ref="AW40:AW41"/>
    <mergeCell ref="AX40:AX41"/>
    <mergeCell ref="T40:T41"/>
    <mergeCell ref="V40:V41"/>
    <mergeCell ref="W40:W41"/>
    <mergeCell ref="Y40:Y41"/>
    <mergeCell ref="BX25:BX26"/>
    <mergeCell ref="A40:A41"/>
    <mergeCell ref="B40:B41"/>
    <mergeCell ref="C40:C41"/>
    <mergeCell ref="H40:H41"/>
    <mergeCell ref="J40:J41"/>
    <mergeCell ref="K40:K41"/>
    <mergeCell ref="M40:M41"/>
    <mergeCell ref="N40:N41"/>
    <mergeCell ref="P40:P41"/>
    <mergeCell ref="BO25:BO26"/>
    <mergeCell ref="BP25:BP26"/>
    <mergeCell ref="BR25:BR26"/>
    <mergeCell ref="BS25:BS26"/>
    <mergeCell ref="BU25:BU26"/>
    <mergeCell ref="BV25:BV26"/>
    <mergeCell ref="BF25:BF26"/>
    <mergeCell ref="BG25:BG26"/>
    <mergeCell ref="BI25:BI26"/>
    <mergeCell ref="BJ25:BJ26"/>
    <mergeCell ref="BL25:BL26"/>
    <mergeCell ref="BM25:BM26"/>
    <mergeCell ref="AW25:AW26"/>
    <mergeCell ref="AX25:AX26"/>
    <mergeCell ref="AZ25:AZ26"/>
    <mergeCell ref="BA25:BA26"/>
    <mergeCell ref="BC25:BC26"/>
    <mergeCell ref="BD25:BD26"/>
    <mergeCell ref="AN25:AN26"/>
    <mergeCell ref="AO25:AO26"/>
    <mergeCell ref="AQ25:AQ26"/>
    <mergeCell ref="AR25:AR26"/>
    <mergeCell ref="AT25:AT26"/>
    <mergeCell ref="AU25:AU26"/>
    <mergeCell ref="AE25:AE26"/>
    <mergeCell ref="AF25:AF26"/>
    <mergeCell ref="AH25:AH26"/>
    <mergeCell ref="AI25:AI26"/>
    <mergeCell ref="AK25:AK26"/>
    <mergeCell ref="AL25:AL26"/>
    <mergeCell ref="V25:V26"/>
    <mergeCell ref="W25:W26"/>
    <mergeCell ref="Y25:Y26"/>
    <mergeCell ref="Z25:Z26"/>
    <mergeCell ref="AB25:AB26"/>
    <mergeCell ref="AC25:AC26"/>
    <mergeCell ref="M25:M26"/>
    <mergeCell ref="N25:N26"/>
    <mergeCell ref="P25:P26"/>
    <mergeCell ref="Q25:Q26"/>
    <mergeCell ref="S25:S26"/>
    <mergeCell ref="T25:T26"/>
    <mergeCell ref="BS20:BS21"/>
    <mergeCell ref="BU20:BU21"/>
    <mergeCell ref="BV20:BV21"/>
    <mergeCell ref="AZ20:AZ21"/>
    <mergeCell ref="AI20:AI21"/>
    <mergeCell ref="AK20:AK21"/>
    <mergeCell ref="AL20:AL21"/>
    <mergeCell ref="AN20:AN21"/>
    <mergeCell ref="AO20:AO21"/>
    <mergeCell ref="AQ20:AQ21"/>
    <mergeCell ref="Z20:Z21"/>
    <mergeCell ref="AB20:AB21"/>
    <mergeCell ref="AC20:AC21"/>
    <mergeCell ref="AE20:AE21"/>
    <mergeCell ref="AF20:AF21"/>
    <mergeCell ref="AH20:AH21"/>
    <mergeCell ref="Q20:Q21"/>
    <mergeCell ref="S20:S21"/>
    <mergeCell ref="BX20:BX21"/>
    <mergeCell ref="A25:A26"/>
    <mergeCell ref="B25:B26"/>
    <mergeCell ref="C25:C26"/>
    <mergeCell ref="H25:H26"/>
    <mergeCell ref="J25:J26"/>
    <mergeCell ref="K25:K26"/>
    <mergeCell ref="BJ20:BJ21"/>
    <mergeCell ref="BL20:BL21"/>
    <mergeCell ref="BM20:BM21"/>
    <mergeCell ref="BO20:BO21"/>
    <mergeCell ref="BP20:BP21"/>
    <mergeCell ref="BR20:BR21"/>
    <mergeCell ref="BA20:BA21"/>
    <mergeCell ref="BC20:BC21"/>
    <mergeCell ref="BD20:BD21"/>
    <mergeCell ref="BF20:BF21"/>
    <mergeCell ref="BG20:BG21"/>
    <mergeCell ref="BI20:BI21"/>
    <mergeCell ref="AR20:AR21"/>
    <mergeCell ref="AT20:AT21"/>
    <mergeCell ref="AU20:AU21"/>
    <mergeCell ref="AW20:AW21"/>
    <mergeCell ref="AX20:AX21"/>
    <mergeCell ref="T20:T21"/>
    <mergeCell ref="V20:V21"/>
    <mergeCell ref="W20:W21"/>
    <mergeCell ref="Y20:Y21"/>
    <mergeCell ref="J20:J21"/>
    <mergeCell ref="K20:K21"/>
    <mergeCell ref="L20:L21"/>
    <mergeCell ref="M20:M21"/>
    <mergeCell ref="N20:N21"/>
    <mergeCell ref="P20:P21"/>
    <mergeCell ref="BT18:BT19"/>
    <mergeCell ref="BU18:BU19"/>
    <mergeCell ref="BV18:BV19"/>
    <mergeCell ref="BW18:BW19"/>
    <mergeCell ref="BX18:BX19"/>
    <mergeCell ref="A20:A21"/>
    <mergeCell ref="B20:B21"/>
    <mergeCell ref="C20:C21"/>
    <mergeCell ref="H20:H21"/>
    <mergeCell ref="I20:I21"/>
    <mergeCell ref="BN18:BN19"/>
    <mergeCell ref="BO18:BO19"/>
    <mergeCell ref="BP18:BP19"/>
    <mergeCell ref="BQ18:BQ19"/>
    <mergeCell ref="BR18:BR19"/>
    <mergeCell ref="BS18:BS19"/>
    <mergeCell ref="BH18:BH19"/>
    <mergeCell ref="BI18:BI19"/>
    <mergeCell ref="BJ18:BJ19"/>
    <mergeCell ref="BK18:BK19"/>
    <mergeCell ref="BL18:BL19"/>
    <mergeCell ref="BM18:BM19"/>
    <mergeCell ref="BB18:BB19"/>
    <mergeCell ref="BC18:BC19"/>
    <mergeCell ref="BD18:BD19"/>
    <mergeCell ref="BE18:BE19"/>
    <mergeCell ref="BF18:BF19"/>
    <mergeCell ref="BG18:BG19"/>
    <mergeCell ref="AV18:AV19"/>
    <mergeCell ref="AW18:AW19"/>
    <mergeCell ref="AX18:AX19"/>
    <mergeCell ref="AY18:AY19"/>
    <mergeCell ref="AZ18:AZ19"/>
    <mergeCell ref="BA18:BA19"/>
    <mergeCell ref="AP18:AP19"/>
    <mergeCell ref="AQ18:AQ19"/>
    <mergeCell ref="AR18:AR19"/>
    <mergeCell ref="AS18:AS19"/>
    <mergeCell ref="AT18:AT19"/>
    <mergeCell ref="AU18:AU19"/>
    <mergeCell ref="AJ18:AJ19"/>
    <mergeCell ref="AK18:AK19"/>
    <mergeCell ref="AL18:AL19"/>
    <mergeCell ref="AM18:AM19"/>
    <mergeCell ref="AN18:AN19"/>
    <mergeCell ref="AO18:AO19"/>
    <mergeCell ref="AD18:AD19"/>
    <mergeCell ref="AE18:AE19"/>
    <mergeCell ref="AF18:AF19"/>
    <mergeCell ref="AG18:AG19"/>
    <mergeCell ref="AH18:AH19"/>
    <mergeCell ref="AI18:AI19"/>
    <mergeCell ref="X18:X19"/>
    <mergeCell ref="Y18:Y19"/>
    <mergeCell ref="Z18:Z19"/>
    <mergeCell ref="AA18:AA19"/>
    <mergeCell ref="AB18:AB19"/>
    <mergeCell ref="AC18:AC19"/>
    <mergeCell ref="R18:R19"/>
    <mergeCell ref="S18:S19"/>
    <mergeCell ref="T18:T19"/>
    <mergeCell ref="U18:U19"/>
    <mergeCell ref="V18:V19"/>
    <mergeCell ref="W18:W19"/>
    <mergeCell ref="BX12:BX13"/>
    <mergeCell ref="B18:B19"/>
    <mergeCell ref="C18:C19"/>
    <mergeCell ref="H18:H19"/>
    <mergeCell ref="J18:J19"/>
    <mergeCell ref="K18:K19"/>
    <mergeCell ref="M18:M19"/>
    <mergeCell ref="N18:N19"/>
    <mergeCell ref="P18:P19"/>
    <mergeCell ref="Q18:Q19"/>
    <mergeCell ref="BO12:BO13"/>
    <mergeCell ref="BP12:BP13"/>
    <mergeCell ref="BR12:BR13"/>
    <mergeCell ref="BS12:BS13"/>
    <mergeCell ref="BU12:BU13"/>
    <mergeCell ref="BV12:BV13"/>
    <mergeCell ref="BF12:BF13"/>
    <mergeCell ref="BG12:BG13"/>
    <mergeCell ref="BI12:BI13"/>
    <mergeCell ref="BJ12:BJ13"/>
    <mergeCell ref="BL12:BL13"/>
    <mergeCell ref="BM12:BM13"/>
    <mergeCell ref="AW12:AW13"/>
    <mergeCell ref="AX12:AX13"/>
    <mergeCell ref="AZ12:AZ13"/>
    <mergeCell ref="BA12:BA13"/>
    <mergeCell ref="BC12:BC13"/>
    <mergeCell ref="BD12:BD13"/>
    <mergeCell ref="AN12:AN13"/>
    <mergeCell ref="AO12:AO13"/>
    <mergeCell ref="AQ12:AQ13"/>
    <mergeCell ref="AR12:AR13"/>
    <mergeCell ref="AT12:AT13"/>
    <mergeCell ref="AU12:AU13"/>
    <mergeCell ref="AE12:AE13"/>
    <mergeCell ref="AF12:AF13"/>
    <mergeCell ref="AH12:AH13"/>
    <mergeCell ref="AI12:AI13"/>
    <mergeCell ref="AK12:AK13"/>
    <mergeCell ref="AL12:AL13"/>
    <mergeCell ref="V12:V13"/>
    <mergeCell ref="W12:W13"/>
    <mergeCell ref="Y12:Y13"/>
    <mergeCell ref="Z12:Z13"/>
    <mergeCell ref="AB12:AB13"/>
    <mergeCell ref="AC12:AC13"/>
    <mergeCell ref="M12:M13"/>
    <mergeCell ref="N12:N13"/>
    <mergeCell ref="P12:P13"/>
    <mergeCell ref="Q12:Q13"/>
    <mergeCell ref="S12:S13"/>
    <mergeCell ref="T12:T13"/>
    <mergeCell ref="A12:A13"/>
    <mergeCell ref="B12:B13"/>
    <mergeCell ref="C12:C13"/>
    <mergeCell ref="H12:H13"/>
    <mergeCell ref="J12:J13"/>
    <mergeCell ref="K12:K13"/>
    <mergeCell ref="BS4:BS5"/>
    <mergeCell ref="BU4:BU5"/>
    <mergeCell ref="BV4:BV5"/>
    <mergeCell ref="AL4:AL5"/>
    <mergeCell ref="AN4:AN5"/>
    <mergeCell ref="AO4:AO5"/>
    <mergeCell ref="AQ4:AQ5"/>
    <mergeCell ref="Z4:Z5"/>
    <mergeCell ref="AB4:AB5"/>
    <mergeCell ref="AC4:AC5"/>
    <mergeCell ref="AE4:AE5"/>
    <mergeCell ref="AF4:AF5"/>
    <mergeCell ref="AH4:AH5"/>
    <mergeCell ref="Q4:Q5"/>
    <mergeCell ref="S4:S5"/>
    <mergeCell ref="T4:T5"/>
    <mergeCell ref="V4:V5"/>
    <mergeCell ref="W4:W5"/>
    <mergeCell ref="BX4:BX5"/>
    <mergeCell ref="A10:A11"/>
    <mergeCell ref="B10:B11"/>
    <mergeCell ref="C10:C11"/>
    <mergeCell ref="BJ4:BJ5"/>
    <mergeCell ref="BL4:BL5"/>
    <mergeCell ref="BM4:BM5"/>
    <mergeCell ref="BO4:BO5"/>
    <mergeCell ref="BP4:BP5"/>
    <mergeCell ref="BR4:BR5"/>
    <mergeCell ref="BA4:BA5"/>
    <mergeCell ref="BC4:BC5"/>
    <mergeCell ref="BD4:BD5"/>
    <mergeCell ref="BF4:BF5"/>
    <mergeCell ref="BG4:BG5"/>
    <mergeCell ref="BI4:BI5"/>
    <mergeCell ref="AR4:AR5"/>
    <mergeCell ref="AT4:AT5"/>
    <mergeCell ref="AU4:AU5"/>
    <mergeCell ref="AW4:AW5"/>
    <mergeCell ref="AX4:AX5"/>
    <mergeCell ref="AZ4:AZ5"/>
    <mergeCell ref="AI4:AI5"/>
    <mergeCell ref="AK4:AK5"/>
    <mergeCell ref="Y4:Y5"/>
    <mergeCell ref="BV2:BX2"/>
    <mergeCell ref="A4:A5"/>
    <mergeCell ref="B4:B5"/>
    <mergeCell ref="C4:C5"/>
    <mergeCell ref="H4:H5"/>
    <mergeCell ref="J4:J5"/>
    <mergeCell ref="K4:K5"/>
    <mergeCell ref="M4:M5"/>
    <mergeCell ref="N4:N5"/>
    <mergeCell ref="P4:P5"/>
    <mergeCell ref="BD2:BF2"/>
    <mergeCell ref="BG2:BI2"/>
    <mergeCell ref="BJ2:BL2"/>
    <mergeCell ref="BM2:BO2"/>
    <mergeCell ref="BP2:BR2"/>
    <mergeCell ref="BS2:BU2"/>
    <mergeCell ref="AL2:AN2"/>
    <mergeCell ref="AO2:AQ2"/>
    <mergeCell ref="AR2:AT2"/>
    <mergeCell ref="AU2:AW2"/>
    <mergeCell ref="AX2:AZ2"/>
    <mergeCell ref="BA2:BC2"/>
    <mergeCell ref="T2:V2"/>
    <mergeCell ref="W2:Y2"/>
    <mergeCell ref="Z2:AB2"/>
    <mergeCell ref="AC2:AE2"/>
    <mergeCell ref="AF2:AH2"/>
    <mergeCell ref="AI2:AK2"/>
    <mergeCell ref="B2:C3"/>
    <mergeCell ref="G2:G3"/>
    <mergeCell ref="H2:J2"/>
    <mergeCell ref="K2:M2"/>
    <mergeCell ref="N2:P2"/>
    <mergeCell ref="Q2:S2"/>
  </mergeCells>
  <phoneticPr fontId="2"/>
  <pageMargins left="0.70866141732283472" right="0.70866141732283472" top="0.74803149606299213" bottom="0.74803149606299213" header="0.31496062992125984" footer="0.31496062992125984"/>
  <pageSetup paperSize="8" scale="50" fitToHeight="0" orientation="landscape" horizontalDpi="1200" verticalDpi="1200" r:id="rId1"/>
  <headerFooter>
    <oddHeader>&amp;R&amp;D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126B6-C3B2-4CA0-8ED8-B85DE3915E10}">
  <sheetPr>
    <pageSetUpPr fitToPage="1"/>
  </sheetPr>
  <dimension ref="A1:BW28"/>
  <sheetViews>
    <sheetView zoomScale="70" zoomScaleNormal="70" workbookViewId="0">
      <pane xSplit="6" ySplit="3" topLeftCell="G5" activePane="bottomRight" state="frozen"/>
      <selection activeCell="BQ41" sqref="BQ41"/>
      <selection pane="topRight" activeCell="BQ41" sqref="BQ41"/>
      <selection pane="bottomLeft" activeCell="BQ41" sqref="BQ41"/>
      <selection pane="bottomRight" activeCell="A24" sqref="A24"/>
    </sheetView>
  </sheetViews>
  <sheetFormatPr defaultColWidth="10.59765625" defaultRowHeight="17.399999999999999" x14ac:dyDescent="0.45"/>
  <cols>
    <col min="1" max="1" width="5.09765625" style="83" bestFit="1" customWidth="1"/>
    <col min="2" max="2" width="21.59765625" style="13" bestFit="1" customWidth="1"/>
    <col min="3" max="3" width="24.09765625" style="13" bestFit="1" customWidth="1"/>
    <col min="4" max="6" width="10.59765625" style="13" hidden="1" customWidth="1"/>
    <col min="7" max="7" width="11" style="13" hidden="1" customWidth="1"/>
    <col min="8" max="8" width="10.69921875" style="13" hidden="1" customWidth="1"/>
    <col min="9" max="13" width="11" style="13" hidden="1" customWidth="1"/>
    <col min="14" max="14" width="10.8984375" style="13" hidden="1" customWidth="1"/>
    <col min="15" max="16" width="11" style="13" hidden="1" customWidth="1"/>
    <col min="17" max="19" width="10.8984375" style="13" hidden="1" customWidth="1"/>
    <col min="20" max="21" width="10.69921875" style="13" hidden="1" customWidth="1"/>
    <col min="22" max="22" width="11" style="13" hidden="1" customWidth="1"/>
    <col min="23" max="24" width="10.69921875" style="13" hidden="1" customWidth="1"/>
    <col min="25" max="25" width="11" style="13" hidden="1" customWidth="1"/>
    <col min="26" max="27" width="10.69921875" style="13" hidden="1" customWidth="1"/>
    <col min="28" max="28" width="11" style="13" hidden="1" customWidth="1"/>
    <col min="29" max="30" width="10.69921875" style="13" hidden="1" customWidth="1"/>
    <col min="31" max="31" width="11" style="13" hidden="1" customWidth="1"/>
    <col min="32" max="33" width="10.69921875" style="13" hidden="1" customWidth="1"/>
    <col min="34" max="34" width="11" style="13" hidden="1" customWidth="1"/>
    <col min="35" max="36" width="10.69921875" style="13" hidden="1" customWidth="1"/>
    <col min="37" max="37" width="11" style="13" hidden="1" customWidth="1"/>
    <col min="38" max="39" width="10.69921875" style="13" hidden="1" customWidth="1"/>
    <col min="40" max="40" width="11" style="13" hidden="1" customWidth="1"/>
    <col min="41" max="42" width="10.69921875" style="13" hidden="1" customWidth="1"/>
    <col min="43" max="43" width="11" style="13" hidden="1" customWidth="1"/>
    <col min="44" max="45" width="10.69921875" style="13" hidden="1" customWidth="1"/>
    <col min="46" max="46" width="11" style="13" bestFit="1" customWidth="1"/>
    <col min="47" max="48" width="10.69921875" style="13" bestFit="1" customWidth="1"/>
    <col min="49" max="49" width="11" style="13" bestFit="1" customWidth="1"/>
    <col min="50" max="51" width="10.69921875" style="13" bestFit="1" customWidth="1"/>
    <col min="52" max="52" width="11" style="13" bestFit="1" customWidth="1"/>
    <col min="53" max="54" width="10.69921875" style="13" bestFit="1" customWidth="1"/>
    <col min="55" max="55" width="11" style="13" bestFit="1" customWidth="1"/>
    <col min="56" max="57" width="10.69921875" style="13" bestFit="1" customWidth="1"/>
    <col min="58" max="58" width="11" style="13" bestFit="1" customWidth="1"/>
    <col min="59" max="60" width="10.69921875" style="13" bestFit="1" customWidth="1"/>
    <col min="61" max="61" width="11" style="13" bestFit="1" customWidth="1"/>
    <col min="62" max="63" width="10.69921875" style="13" bestFit="1" customWidth="1"/>
    <col min="64" max="64" width="11" style="13" bestFit="1" customWidth="1"/>
    <col min="65" max="66" width="10.69921875" style="13" bestFit="1" customWidth="1"/>
    <col min="67" max="67" width="11" style="13" bestFit="1" customWidth="1"/>
    <col min="68" max="69" width="10.69921875" style="13" bestFit="1" customWidth="1"/>
    <col min="70" max="70" width="11" style="13" bestFit="1" customWidth="1"/>
    <col min="71" max="72" width="10.69921875" style="13" bestFit="1" customWidth="1"/>
    <col min="73" max="73" width="11" style="13" bestFit="1" customWidth="1"/>
    <col min="74" max="75" width="10.69921875" style="13" bestFit="1" customWidth="1"/>
    <col min="76" max="16384" width="10.59765625" style="13"/>
  </cols>
  <sheetData>
    <row r="1" spans="1:75" ht="22.2" thickBot="1" x14ac:dyDescent="0.5">
      <c r="B1" s="178" t="s">
        <v>132</v>
      </c>
    </row>
    <row r="2" spans="1:75" x14ac:dyDescent="0.45">
      <c r="B2" s="222" t="s">
        <v>0</v>
      </c>
      <c r="C2" s="223"/>
      <c r="D2" s="63" t="s">
        <v>34</v>
      </c>
      <c r="E2" s="26" t="s">
        <v>41</v>
      </c>
      <c r="F2" s="25" t="s">
        <v>35</v>
      </c>
      <c r="G2" s="219">
        <v>45505</v>
      </c>
      <c r="H2" s="220"/>
      <c r="I2" s="221"/>
      <c r="J2" s="219">
        <f>G2+31</f>
        <v>45536</v>
      </c>
      <c r="K2" s="220"/>
      <c r="L2" s="221"/>
      <c r="M2" s="219">
        <f t="shared" ref="M2" si="0">J2+31</f>
        <v>45567</v>
      </c>
      <c r="N2" s="220"/>
      <c r="O2" s="221"/>
      <c r="P2" s="219">
        <f t="shared" ref="P2" si="1">M2+31</f>
        <v>45598</v>
      </c>
      <c r="Q2" s="220"/>
      <c r="R2" s="221"/>
      <c r="S2" s="219">
        <f t="shared" ref="S2" si="2">P2+31</f>
        <v>45629</v>
      </c>
      <c r="T2" s="220"/>
      <c r="U2" s="221"/>
      <c r="V2" s="219">
        <f t="shared" ref="V2" si="3">S2+31</f>
        <v>45660</v>
      </c>
      <c r="W2" s="220"/>
      <c r="X2" s="221"/>
      <c r="Y2" s="219">
        <f t="shared" ref="Y2" si="4">V2+31</f>
        <v>45691</v>
      </c>
      <c r="Z2" s="220"/>
      <c r="AA2" s="221"/>
      <c r="AB2" s="219">
        <f t="shared" ref="AB2" si="5">Y2+31</f>
        <v>45722</v>
      </c>
      <c r="AC2" s="220"/>
      <c r="AD2" s="221"/>
      <c r="AE2" s="219">
        <f t="shared" ref="AE2" si="6">AB2+31</f>
        <v>45753</v>
      </c>
      <c r="AF2" s="220"/>
      <c r="AG2" s="221"/>
      <c r="AH2" s="219">
        <f t="shared" ref="AH2" si="7">AE2+31</f>
        <v>45784</v>
      </c>
      <c r="AI2" s="220"/>
      <c r="AJ2" s="221"/>
      <c r="AK2" s="219">
        <f t="shared" ref="AK2" si="8">AH2+31</f>
        <v>45815</v>
      </c>
      <c r="AL2" s="220"/>
      <c r="AM2" s="221"/>
      <c r="AN2" s="219">
        <f t="shared" ref="AN2" si="9">AK2+31</f>
        <v>45846</v>
      </c>
      <c r="AO2" s="220"/>
      <c r="AP2" s="221"/>
      <c r="AQ2" s="219">
        <f t="shared" ref="AQ2" si="10">AN2+31</f>
        <v>45877</v>
      </c>
      <c r="AR2" s="220"/>
      <c r="AS2" s="221"/>
      <c r="AT2" s="219">
        <f t="shared" ref="AT2" si="11">AQ2+31</f>
        <v>45908</v>
      </c>
      <c r="AU2" s="220"/>
      <c r="AV2" s="221"/>
      <c r="AW2" s="219">
        <f t="shared" ref="AW2" si="12">AT2+31</f>
        <v>45939</v>
      </c>
      <c r="AX2" s="220"/>
      <c r="AY2" s="221"/>
      <c r="AZ2" s="219">
        <f t="shared" ref="AZ2" si="13">AW2+31</f>
        <v>45970</v>
      </c>
      <c r="BA2" s="220"/>
      <c r="BB2" s="221"/>
      <c r="BC2" s="219">
        <f>AZ2+31</f>
        <v>46001</v>
      </c>
      <c r="BD2" s="220"/>
      <c r="BE2" s="221"/>
      <c r="BF2" s="219">
        <f>BC2+31</f>
        <v>46032</v>
      </c>
      <c r="BG2" s="220"/>
      <c r="BH2" s="221"/>
      <c r="BI2" s="219">
        <f>BF2+31</f>
        <v>46063</v>
      </c>
      <c r="BJ2" s="220"/>
      <c r="BK2" s="221"/>
      <c r="BL2" s="219">
        <f>BI2+31</f>
        <v>46094</v>
      </c>
      <c r="BM2" s="220"/>
      <c r="BN2" s="221"/>
      <c r="BO2" s="219">
        <f>BL2+31</f>
        <v>46125</v>
      </c>
      <c r="BP2" s="220"/>
      <c r="BQ2" s="221"/>
      <c r="BR2" s="219">
        <f>BO2+31</f>
        <v>46156</v>
      </c>
      <c r="BS2" s="220"/>
      <c r="BT2" s="221"/>
      <c r="BU2" s="219">
        <f>BR2+31</f>
        <v>46187</v>
      </c>
      <c r="BV2" s="220"/>
      <c r="BW2" s="221"/>
    </row>
    <row r="3" spans="1:75" ht="18" thickBot="1" x14ac:dyDescent="0.5">
      <c r="B3" s="224"/>
      <c r="C3" s="225"/>
      <c r="D3" s="64"/>
      <c r="E3" s="36"/>
      <c r="F3" s="35"/>
      <c r="G3" s="38" t="s">
        <v>55</v>
      </c>
      <c r="H3" s="37" t="s">
        <v>54</v>
      </c>
      <c r="I3" s="39" t="s">
        <v>56</v>
      </c>
      <c r="J3" s="38" t="s">
        <v>55</v>
      </c>
      <c r="K3" s="37" t="s">
        <v>54</v>
      </c>
      <c r="L3" s="39" t="s">
        <v>56</v>
      </c>
      <c r="M3" s="38" t="s">
        <v>55</v>
      </c>
      <c r="N3" s="37" t="s">
        <v>54</v>
      </c>
      <c r="O3" s="39" t="s">
        <v>56</v>
      </c>
      <c r="P3" s="38" t="s">
        <v>55</v>
      </c>
      <c r="Q3" s="37" t="s">
        <v>54</v>
      </c>
      <c r="R3" s="39" t="s">
        <v>56</v>
      </c>
      <c r="S3" s="38" t="s">
        <v>55</v>
      </c>
      <c r="T3" s="37" t="s">
        <v>54</v>
      </c>
      <c r="U3" s="39" t="s">
        <v>56</v>
      </c>
      <c r="V3" s="87" t="s">
        <v>55</v>
      </c>
      <c r="W3" s="36" t="s">
        <v>54</v>
      </c>
      <c r="X3" s="39" t="s">
        <v>56</v>
      </c>
      <c r="Y3" s="87" t="s">
        <v>55</v>
      </c>
      <c r="Z3" s="36" t="s">
        <v>54</v>
      </c>
      <c r="AA3" s="39" t="s">
        <v>56</v>
      </c>
      <c r="AB3" s="87" t="s">
        <v>55</v>
      </c>
      <c r="AC3" s="36" t="s">
        <v>54</v>
      </c>
      <c r="AD3" s="39" t="s">
        <v>56</v>
      </c>
      <c r="AE3" s="87" t="s">
        <v>55</v>
      </c>
      <c r="AF3" s="36" t="s">
        <v>54</v>
      </c>
      <c r="AG3" s="39" t="s">
        <v>56</v>
      </c>
      <c r="AH3" s="87" t="s">
        <v>55</v>
      </c>
      <c r="AI3" s="36" t="s">
        <v>54</v>
      </c>
      <c r="AJ3" s="39" t="s">
        <v>56</v>
      </c>
      <c r="AK3" s="87" t="s">
        <v>55</v>
      </c>
      <c r="AL3" s="36" t="s">
        <v>54</v>
      </c>
      <c r="AM3" s="39" t="s">
        <v>56</v>
      </c>
      <c r="AN3" s="87" t="s">
        <v>55</v>
      </c>
      <c r="AO3" s="36" t="s">
        <v>54</v>
      </c>
      <c r="AP3" s="39" t="s">
        <v>56</v>
      </c>
      <c r="AQ3" s="87" t="s">
        <v>55</v>
      </c>
      <c r="AR3" s="36" t="s">
        <v>54</v>
      </c>
      <c r="AS3" s="39" t="s">
        <v>56</v>
      </c>
      <c r="AT3" s="87" t="s">
        <v>55</v>
      </c>
      <c r="AU3" s="36" t="s">
        <v>54</v>
      </c>
      <c r="AV3" s="39" t="s">
        <v>56</v>
      </c>
      <c r="AW3" s="87" t="s">
        <v>55</v>
      </c>
      <c r="AX3" s="36" t="s">
        <v>54</v>
      </c>
      <c r="AY3" s="39" t="s">
        <v>56</v>
      </c>
      <c r="AZ3" s="87" t="s">
        <v>55</v>
      </c>
      <c r="BA3" s="36" t="s">
        <v>54</v>
      </c>
      <c r="BB3" s="39" t="s">
        <v>56</v>
      </c>
      <c r="BC3" s="87" t="e">
        <f>#REF!</f>
        <v>#REF!</v>
      </c>
      <c r="BD3" s="36" t="s">
        <v>54</v>
      </c>
      <c r="BE3" s="39" t="s">
        <v>56</v>
      </c>
      <c r="BF3" s="87" t="s">
        <v>55</v>
      </c>
      <c r="BG3" s="36" t="s">
        <v>54</v>
      </c>
      <c r="BH3" s="39" t="s">
        <v>56</v>
      </c>
      <c r="BI3" s="87" t="s">
        <v>55</v>
      </c>
      <c r="BJ3" s="36" t="s">
        <v>54</v>
      </c>
      <c r="BK3" s="39" t="s">
        <v>56</v>
      </c>
      <c r="BL3" s="87" t="s">
        <v>55</v>
      </c>
      <c r="BM3" s="36" t="s">
        <v>54</v>
      </c>
      <c r="BN3" s="39" t="s">
        <v>56</v>
      </c>
      <c r="BO3" s="87" t="s">
        <v>129</v>
      </c>
      <c r="BP3" s="36" t="s">
        <v>54</v>
      </c>
      <c r="BQ3" s="39" t="s">
        <v>56</v>
      </c>
      <c r="BR3" s="87" t="s">
        <v>129</v>
      </c>
      <c r="BS3" s="36" t="s">
        <v>54</v>
      </c>
      <c r="BT3" s="39" t="s">
        <v>56</v>
      </c>
      <c r="BU3" s="87" t="s">
        <v>114</v>
      </c>
      <c r="BV3" s="36" t="s">
        <v>54</v>
      </c>
      <c r="BW3" s="39" t="s">
        <v>56</v>
      </c>
    </row>
    <row r="4" spans="1:75" s="127" customFormat="1" x14ac:dyDescent="0.45">
      <c r="A4" s="152">
        <v>1</v>
      </c>
      <c r="B4" s="153" t="s">
        <v>63</v>
      </c>
      <c r="C4" s="154" t="s">
        <v>64</v>
      </c>
      <c r="D4" s="123"/>
      <c r="E4" s="124"/>
      <c r="F4" s="124"/>
      <c r="G4" s="155">
        <v>800</v>
      </c>
      <c r="H4" s="125">
        <v>600</v>
      </c>
      <c r="I4" s="155"/>
      <c r="J4" s="161"/>
      <c r="K4" s="47">
        <v>400</v>
      </c>
      <c r="L4" s="122"/>
      <c r="M4" s="162">
        <v>800</v>
      </c>
      <c r="N4" s="47">
        <v>600</v>
      </c>
      <c r="O4" s="122">
        <v>1000</v>
      </c>
      <c r="P4" s="162">
        <v>800</v>
      </c>
      <c r="Q4" s="47">
        <v>600</v>
      </c>
      <c r="R4" s="122">
        <v>1200</v>
      </c>
      <c r="S4" s="162"/>
      <c r="T4" s="47">
        <v>400</v>
      </c>
      <c r="U4" s="122">
        <v>800</v>
      </c>
      <c r="V4" s="163">
        <v>1000</v>
      </c>
      <c r="W4" s="95">
        <v>1000</v>
      </c>
      <c r="X4" s="122">
        <v>800</v>
      </c>
      <c r="Y4" s="163">
        <v>800</v>
      </c>
      <c r="Z4" s="95">
        <v>800</v>
      </c>
      <c r="AA4" s="122">
        <v>800</v>
      </c>
      <c r="AB4" s="163">
        <v>800</v>
      </c>
      <c r="AC4" s="95">
        <v>800</v>
      </c>
      <c r="AD4" s="122">
        <v>800</v>
      </c>
      <c r="AE4" s="163">
        <v>1000</v>
      </c>
      <c r="AF4" s="95">
        <v>200</v>
      </c>
      <c r="AG4" s="122">
        <v>1600</v>
      </c>
      <c r="AH4" s="163">
        <v>800</v>
      </c>
      <c r="AI4" s="95">
        <v>200</v>
      </c>
      <c r="AJ4" s="122">
        <v>2200</v>
      </c>
      <c r="AK4" s="163">
        <v>800</v>
      </c>
      <c r="AL4" s="95">
        <v>200</v>
      </c>
      <c r="AM4" s="122">
        <v>2800</v>
      </c>
      <c r="AN4" s="163"/>
      <c r="AO4" s="95">
        <v>400</v>
      </c>
      <c r="AP4" s="122">
        <v>2400</v>
      </c>
      <c r="AQ4" s="163"/>
      <c r="AR4" s="95"/>
      <c r="AS4" s="122">
        <v>2400</v>
      </c>
      <c r="AT4" s="163"/>
      <c r="AU4" s="95">
        <v>800</v>
      </c>
      <c r="AV4" s="122">
        <v>2000</v>
      </c>
      <c r="AW4" s="163"/>
      <c r="AX4" s="95"/>
      <c r="AY4" s="122">
        <v>600</v>
      </c>
      <c r="AZ4" s="163"/>
      <c r="BA4" s="95"/>
      <c r="BB4" s="122">
        <v>1400</v>
      </c>
      <c r="BC4" s="163"/>
      <c r="BD4" s="95">
        <v>200</v>
      </c>
      <c r="BE4" s="122">
        <v>1200</v>
      </c>
      <c r="BF4" s="163">
        <v>800</v>
      </c>
      <c r="BG4" s="95">
        <v>400</v>
      </c>
      <c r="BH4" s="122">
        <v>1600</v>
      </c>
      <c r="BI4" s="163"/>
      <c r="BJ4" s="95"/>
      <c r="BK4" s="122">
        <v>1600</v>
      </c>
      <c r="BL4" s="163">
        <v>800</v>
      </c>
      <c r="BM4" s="95">
        <v>400</v>
      </c>
      <c r="BN4" s="122">
        <v>2000</v>
      </c>
      <c r="BO4" s="163"/>
      <c r="BP4" s="95"/>
      <c r="BQ4" s="122"/>
      <c r="BR4" s="163"/>
      <c r="BS4" s="95"/>
      <c r="BT4" s="122"/>
      <c r="BU4" s="163"/>
      <c r="BV4" s="95"/>
      <c r="BW4" s="122"/>
    </row>
    <row r="5" spans="1:75" s="127" customFormat="1" ht="18" thickBot="1" x14ac:dyDescent="0.5">
      <c r="A5" s="132">
        <v>2</v>
      </c>
      <c r="B5" s="111" t="s">
        <v>63</v>
      </c>
      <c r="C5" s="112" t="s">
        <v>125</v>
      </c>
      <c r="D5" s="156"/>
      <c r="E5" s="157"/>
      <c r="F5" s="157"/>
      <c r="G5" s="158"/>
      <c r="H5" s="159"/>
      <c r="I5" s="160"/>
      <c r="J5" s="21"/>
      <c r="K5" s="20"/>
      <c r="L5" s="22"/>
      <c r="M5" s="21"/>
      <c r="N5" s="20"/>
      <c r="O5" s="22"/>
      <c r="P5" s="21"/>
      <c r="Q5" s="20"/>
      <c r="R5" s="22"/>
      <c r="S5" s="21"/>
      <c r="T5" s="20"/>
      <c r="U5" s="22"/>
      <c r="V5" s="90"/>
      <c r="W5" s="97"/>
      <c r="X5" s="22"/>
      <c r="Y5" s="90"/>
      <c r="Z5" s="97"/>
      <c r="AA5" s="22"/>
      <c r="AB5" s="90">
        <v>400</v>
      </c>
      <c r="AC5" s="97"/>
      <c r="AD5" s="22">
        <v>400</v>
      </c>
      <c r="AE5" s="90">
        <v>300</v>
      </c>
      <c r="AF5" s="97">
        <v>200</v>
      </c>
      <c r="AG5" s="22">
        <v>500</v>
      </c>
      <c r="AH5" s="90">
        <v>300</v>
      </c>
      <c r="AI5" s="97">
        <v>800</v>
      </c>
      <c r="AJ5" s="22"/>
      <c r="AK5" s="90">
        <v>800</v>
      </c>
      <c r="AL5" s="97">
        <v>400</v>
      </c>
      <c r="AM5" s="22">
        <v>400</v>
      </c>
      <c r="AN5" s="90">
        <v>1200</v>
      </c>
      <c r="AO5" s="97">
        <v>800</v>
      </c>
      <c r="AP5" s="22">
        <v>800</v>
      </c>
      <c r="AQ5" s="90">
        <v>1000</v>
      </c>
      <c r="AR5" s="97">
        <v>800</v>
      </c>
      <c r="AS5" s="22">
        <v>1000</v>
      </c>
      <c r="AT5" s="90"/>
      <c r="AU5" s="97">
        <v>1000</v>
      </c>
      <c r="AV5" s="22"/>
      <c r="AW5" s="90">
        <v>1000</v>
      </c>
      <c r="AX5" s="97">
        <v>600</v>
      </c>
      <c r="AY5" s="22">
        <v>400</v>
      </c>
      <c r="AZ5" s="90">
        <v>1000</v>
      </c>
      <c r="BA5" s="97">
        <v>600</v>
      </c>
      <c r="BB5" s="22">
        <v>800</v>
      </c>
      <c r="BC5" s="90">
        <v>1600</v>
      </c>
      <c r="BD5" s="97">
        <v>800</v>
      </c>
      <c r="BE5" s="22">
        <v>1600</v>
      </c>
      <c r="BF5" s="90">
        <v>800</v>
      </c>
      <c r="BG5" s="97"/>
      <c r="BH5" s="22">
        <v>2400</v>
      </c>
      <c r="BI5" s="90"/>
      <c r="BJ5" s="97">
        <v>400</v>
      </c>
      <c r="BK5" s="22">
        <v>2000</v>
      </c>
      <c r="BL5" s="90"/>
      <c r="BM5" s="97"/>
      <c r="BN5" s="22">
        <v>2000</v>
      </c>
      <c r="BO5" s="90"/>
      <c r="BP5" s="97"/>
      <c r="BQ5" s="22"/>
      <c r="BR5" s="90"/>
      <c r="BS5" s="97"/>
      <c r="BT5" s="22"/>
      <c r="BU5" s="90"/>
      <c r="BV5" s="97"/>
      <c r="BW5" s="22"/>
    </row>
    <row r="6" spans="1:75" s="127" customFormat="1" x14ac:dyDescent="0.45">
      <c r="A6" s="132">
        <v>3</v>
      </c>
      <c r="B6" s="172" t="s">
        <v>65</v>
      </c>
      <c r="C6" s="173" t="s">
        <v>72</v>
      </c>
      <c r="D6" s="136"/>
      <c r="E6" s="137"/>
      <c r="F6" s="137"/>
      <c r="G6" s="138"/>
      <c r="H6" s="139">
        <v>300</v>
      </c>
      <c r="I6" s="140"/>
      <c r="J6" s="34">
        <v>1260</v>
      </c>
      <c r="K6" s="43"/>
      <c r="L6" s="32">
        <v>3390</v>
      </c>
      <c r="M6" s="34"/>
      <c r="N6" s="43">
        <v>150</v>
      </c>
      <c r="O6" s="32">
        <v>3240</v>
      </c>
      <c r="P6" s="34"/>
      <c r="Q6" s="43"/>
      <c r="R6" s="32">
        <v>3240</v>
      </c>
      <c r="S6" s="34"/>
      <c r="T6" s="43"/>
      <c r="U6" s="32">
        <v>3240</v>
      </c>
      <c r="V6" s="88"/>
      <c r="W6" s="98">
        <v>930</v>
      </c>
      <c r="X6" s="32">
        <v>2310</v>
      </c>
      <c r="Y6" s="88"/>
      <c r="Z6" s="98"/>
      <c r="AA6" s="32">
        <v>2310</v>
      </c>
      <c r="AB6" s="88"/>
      <c r="AC6" s="98">
        <v>630</v>
      </c>
      <c r="AD6" s="32">
        <v>1680</v>
      </c>
      <c r="AE6" s="88">
        <v>1260</v>
      </c>
      <c r="AF6" s="98"/>
      <c r="AG6" s="32">
        <v>2940</v>
      </c>
      <c r="AH6" s="88"/>
      <c r="AI6" s="98"/>
      <c r="AJ6" s="32">
        <v>2940</v>
      </c>
      <c r="AK6" s="88"/>
      <c r="AL6" s="98"/>
      <c r="AM6" s="32">
        <v>2940</v>
      </c>
      <c r="AN6" s="88"/>
      <c r="AO6" s="98"/>
      <c r="AP6" s="32">
        <v>2940</v>
      </c>
      <c r="AQ6" s="88"/>
      <c r="AR6" s="98"/>
      <c r="AS6" s="32">
        <v>2940</v>
      </c>
      <c r="AT6" s="88"/>
      <c r="AU6" s="98"/>
      <c r="AV6" s="32">
        <v>2940</v>
      </c>
      <c r="AW6" s="88"/>
      <c r="AX6" s="98"/>
      <c r="AY6" s="32">
        <v>1680</v>
      </c>
      <c r="AZ6" s="88"/>
      <c r="BA6" s="98"/>
      <c r="BB6" s="32">
        <v>0</v>
      </c>
      <c r="BC6" s="88"/>
      <c r="BD6" s="98"/>
      <c r="BE6" s="32"/>
      <c r="BF6" s="88"/>
      <c r="BG6" s="98"/>
      <c r="BH6" s="32"/>
      <c r="BI6" s="88"/>
      <c r="BJ6" s="98"/>
      <c r="BK6" s="32"/>
      <c r="BL6" s="88"/>
      <c r="BM6" s="98"/>
      <c r="BN6" s="32"/>
      <c r="BO6" s="88"/>
      <c r="BP6" s="98"/>
      <c r="BQ6" s="32"/>
      <c r="BR6" s="88"/>
      <c r="BS6" s="98"/>
      <c r="BT6" s="32"/>
      <c r="BU6" s="88"/>
      <c r="BV6" s="98"/>
      <c r="BW6" s="32"/>
    </row>
    <row r="7" spans="1:75" s="127" customFormat="1" x14ac:dyDescent="0.45">
      <c r="A7" s="141">
        <v>4</v>
      </c>
      <c r="B7" s="169" t="s">
        <v>65</v>
      </c>
      <c r="C7" s="170" t="s">
        <v>73</v>
      </c>
      <c r="D7" s="128"/>
      <c r="E7" s="129"/>
      <c r="F7" s="129"/>
      <c r="G7" s="131"/>
      <c r="H7" s="130"/>
      <c r="I7" s="133"/>
      <c r="J7" s="16"/>
      <c r="K7" s="18"/>
      <c r="L7" s="19">
        <v>800</v>
      </c>
      <c r="M7" s="16"/>
      <c r="N7" s="18"/>
      <c r="O7" s="19">
        <v>800</v>
      </c>
      <c r="P7" s="16"/>
      <c r="Q7" s="18"/>
      <c r="R7" s="19">
        <v>800</v>
      </c>
      <c r="S7" s="16"/>
      <c r="T7" s="18"/>
      <c r="U7" s="19">
        <v>800</v>
      </c>
      <c r="V7" s="89"/>
      <c r="W7" s="96">
        <v>562.5</v>
      </c>
      <c r="X7" s="19">
        <v>237.5</v>
      </c>
      <c r="Y7" s="89">
        <v>3150</v>
      </c>
      <c r="Z7" s="96"/>
      <c r="AA7" s="19">
        <v>3387.5</v>
      </c>
      <c r="AB7" s="89">
        <v>2100</v>
      </c>
      <c r="AC7" s="96"/>
      <c r="AD7" s="19">
        <v>5487.5</v>
      </c>
      <c r="AE7" s="89">
        <v>3150</v>
      </c>
      <c r="AF7" s="96">
        <v>2100</v>
      </c>
      <c r="AG7" s="19">
        <v>6537.5</v>
      </c>
      <c r="AH7" s="89"/>
      <c r="AI7" s="96">
        <v>1050</v>
      </c>
      <c r="AJ7" s="19">
        <v>5487.5</v>
      </c>
      <c r="AK7" s="89"/>
      <c r="AL7" s="96">
        <v>3150</v>
      </c>
      <c r="AM7" s="19">
        <v>2337.5</v>
      </c>
      <c r="AN7" s="89">
        <v>4200</v>
      </c>
      <c r="AO7" s="96">
        <v>2100</v>
      </c>
      <c r="AP7" s="19">
        <v>4437.5</v>
      </c>
      <c r="AQ7" s="89">
        <v>2100</v>
      </c>
      <c r="AR7" s="96">
        <v>2100</v>
      </c>
      <c r="AS7" s="19">
        <v>4437</v>
      </c>
      <c r="AT7" s="89">
        <v>2100</v>
      </c>
      <c r="AU7" s="96">
        <v>4200</v>
      </c>
      <c r="AV7" s="19">
        <v>2337.5</v>
      </c>
      <c r="AW7" s="89">
        <v>5250</v>
      </c>
      <c r="AX7" s="96">
        <v>3150</v>
      </c>
      <c r="AY7" s="19">
        <v>4438</v>
      </c>
      <c r="AZ7" s="89">
        <v>2100</v>
      </c>
      <c r="BA7" s="96"/>
      <c r="BB7" s="19">
        <v>1287.5</v>
      </c>
      <c r="BC7" s="89">
        <v>6300</v>
      </c>
      <c r="BD7" s="96">
        <v>4200</v>
      </c>
      <c r="BE7" s="19">
        <v>3388</v>
      </c>
      <c r="BF7" s="89">
        <v>5250</v>
      </c>
      <c r="BG7" s="96">
        <v>2100</v>
      </c>
      <c r="BH7" s="19">
        <v>6538.5</v>
      </c>
      <c r="BI7" s="89">
        <v>5250</v>
      </c>
      <c r="BJ7" s="96">
        <v>2100</v>
      </c>
      <c r="BK7" s="19">
        <v>9688</v>
      </c>
      <c r="BL7" s="89">
        <v>2100</v>
      </c>
      <c r="BM7" s="96">
        <v>8400</v>
      </c>
      <c r="BN7" s="19">
        <v>3388</v>
      </c>
      <c r="BO7" s="89">
        <v>8400</v>
      </c>
      <c r="BP7" s="100" t="s">
        <v>136</v>
      </c>
      <c r="BQ7" s="19"/>
      <c r="BR7" s="89">
        <v>10500</v>
      </c>
      <c r="BS7" s="100" t="s">
        <v>139</v>
      </c>
      <c r="BT7" s="19"/>
      <c r="BU7" s="89">
        <v>8400</v>
      </c>
      <c r="BV7" s="96" t="s">
        <v>138</v>
      </c>
      <c r="BW7" s="19"/>
    </row>
    <row r="8" spans="1:75" s="127" customFormat="1" x14ac:dyDescent="0.45">
      <c r="A8" s="132">
        <v>5</v>
      </c>
      <c r="B8" s="77" t="s">
        <v>65</v>
      </c>
      <c r="C8" s="78" t="s">
        <v>75</v>
      </c>
      <c r="D8" s="128"/>
      <c r="E8" s="129"/>
      <c r="F8" s="129"/>
      <c r="G8" s="131">
        <v>8820</v>
      </c>
      <c r="H8" s="130">
        <v>8820</v>
      </c>
      <c r="I8" s="133"/>
      <c r="J8" s="16">
        <v>6300</v>
      </c>
      <c r="K8" s="18">
        <v>8820</v>
      </c>
      <c r="L8" s="19">
        <v>20340</v>
      </c>
      <c r="M8" s="16">
        <v>2520</v>
      </c>
      <c r="N8" s="18">
        <v>12600</v>
      </c>
      <c r="O8" s="19">
        <v>10260</v>
      </c>
      <c r="P8" s="16">
        <v>10080</v>
      </c>
      <c r="Q8" s="18">
        <v>11340</v>
      </c>
      <c r="R8" s="19">
        <v>9000</v>
      </c>
      <c r="S8" s="16">
        <v>7560</v>
      </c>
      <c r="T8" s="18">
        <v>12600</v>
      </c>
      <c r="U8" s="19">
        <v>3960</v>
      </c>
      <c r="V8" s="89">
        <v>16380</v>
      </c>
      <c r="W8" s="96">
        <v>10080</v>
      </c>
      <c r="X8" s="19">
        <v>10260</v>
      </c>
      <c r="Y8" s="89">
        <v>12420</v>
      </c>
      <c r="Z8" s="96">
        <v>10080</v>
      </c>
      <c r="AA8" s="19">
        <v>12600</v>
      </c>
      <c r="AB8" s="89">
        <v>11340</v>
      </c>
      <c r="AC8" s="96">
        <v>13860</v>
      </c>
      <c r="AD8" s="19">
        <v>10080</v>
      </c>
      <c r="AE8" s="89">
        <v>12600</v>
      </c>
      <c r="AF8" s="96">
        <v>13860</v>
      </c>
      <c r="AG8" s="19">
        <v>8820</v>
      </c>
      <c r="AH8" s="89">
        <v>10080</v>
      </c>
      <c r="AI8" s="96">
        <v>12600</v>
      </c>
      <c r="AJ8" s="19">
        <v>6300</v>
      </c>
      <c r="AK8" s="89">
        <v>8820</v>
      </c>
      <c r="AL8" s="96">
        <v>12600</v>
      </c>
      <c r="AM8" s="19">
        <v>3780</v>
      </c>
      <c r="AN8" s="89">
        <v>13860</v>
      </c>
      <c r="AO8" s="96">
        <v>15120</v>
      </c>
      <c r="AP8" s="19">
        <v>2520</v>
      </c>
      <c r="AQ8" s="89">
        <v>16380</v>
      </c>
      <c r="AR8" s="96">
        <v>11340</v>
      </c>
      <c r="AS8" s="19">
        <v>7560</v>
      </c>
      <c r="AT8" s="89">
        <v>15120</v>
      </c>
      <c r="AU8" s="96">
        <v>12600</v>
      </c>
      <c r="AV8" s="19">
        <v>10080</v>
      </c>
      <c r="AW8" s="89">
        <v>17640</v>
      </c>
      <c r="AX8" s="96">
        <v>18900</v>
      </c>
      <c r="AY8" s="19">
        <v>8820</v>
      </c>
      <c r="AZ8" s="89">
        <v>12600</v>
      </c>
      <c r="BA8" s="96">
        <v>8820</v>
      </c>
      <c r="BB8" s="19">
        <v>12600</v>
      </c>
      <c r="BC8" s="89">
        <v>3780</v>
      </c>
      <c r="BD8" s="96">
        <v>10080</v>
      </c>
      <c r="BE8" s="19">
        <v>6300</v>
      </c>
      <c r="BF8" s="89">
        <v>12600</v>
      </c>
      <c r="BG8" s="96">
        <v>12600</v>
      </c>
      <c r="BH8" s="19">
        <v>6300</v>
      </c>
      <c r="BI8" s="89">
        <v>12600</v>
      </c>
      <c r="BJ8" s="96">
        <v>15120</v>
      </c>
      <c r="BK8" s="19">
        <v>3780</v>
      </c>
      <c r="BL8" s="89">
        <v>17640</v>
      </c>
      <c r="BM8" s="96">
        <v>15120</v>
      </c>
      <c r="BN8" s="19">
        <v>6300</v>
      </c>
      <c r="BO8" s="89">
        <v>20160</v>
      </c>
      <c r="BP8" s="96"/>
      <c r="BQ8" s="19"/>
      <c r="BR8" s="89">
        <v>15120</v>
      </c>
      <c r="BS8" s="96"/>
      <c r="BT8" s="19"/>
      <c r="BU8" s="89">
        <v>16380</v>
      </c>
      <c r="BV8" s="96"/>
      <c r="BW8" s="19"/>
    </row>
    <row r="9" spans="1:75" s="127" customFormat="1" x14ac:dyDescent="0.45">
      <c r="A9" s="132">
        <v>6</v>
      </c>
      <c r="B9" s="77" t="s">
        <v>65</v>
      </c>
      <c r="C9" s="78" t="s">
        <v>88</v>
      </c>
      <c r="D9" s="128"/>
      <c r="E9" s="129"/>
      <c r="F9" s="129"/>
      <c r="G9" s="131"/>
      <c r="H9" s="130"/>
      <c r="I9" s="133"/>
      <c r="J9" s="16"/>
      <c r="K9" s="18"/>
      <c r="L9" s="19">
        <v>1925</v>
      </c>
      <c r="M9" s="16"/>
      <c r="N9" s="18"/>
      <c r="O9" s="19">
        <v>1925</v>
      </c>
      <c r="P9" s="16"/>
      <c r="Q9" s="18"/>
      <c r="R9" s="19">
        <v>1925</v>
      </c>
      <c r="S9" s="16"/>
      <c r="T9" s="18"/>
      <c r="U9" s="19">
        <v>1925</v>
      </c>
      <c r="V9" s="89"/>
      <c r="W9" s="96"/>
      <c r="X9" s="19">
        <v>1925</v>
      </c>
      <c r="Y9" s="89"/>
      <c r="Z9" s="96">
        <v>1050</v>
      </c>
      <c r="AA9" s="19">
        <v>875</v>
      </c>
      <c r="AB9" s="89"/>
      <c r="AC9" s="96"/>
      <c r="AD9" s="19">
        <v>875</v>
      </c>
      <c r="AE9" s="89"/>
      <c r="AF9" s="96"/>
      <c r="AG9" s="19">
        <v>875</v>
      </c>
      <c r="AH9" s="89">
        <v>1050</v>
      </c>
      <c r="AI9" s="96"/>
      <c r="AJ9" s="19">
        <v>1925</v>
      </c>
      <c r="AK9" s="89"/>
      <c r="AL9" s="96"/>
      <c r="AM9" s="19">
        <v>1925</v>
      </c>
      <c r="AN9" s="89"/>
      <c r="AO9" s="96"/>
      <c r="AP9" s="19">
        <v>1925</v>
      </c>
      <c r="AQ9" s="89"/>
      <c r="AR9" s="96"/>
      <c r="AS9" s="19">
        <v>1925</v>
      </c>
      <c r="AT9" s="89"/>
      <c r="AU9" s="96"/>
      <c r="AV9" s="19">
        <v>1925</v>
      </c>
      <c r="AW9" s="89"/>
      <c r="AX9" s="96">
        <v>87.5</v>
      </c>
      <c r="AY9" s="19">
        <v>1837.5</v>
      </c>
      <c r="AZ9" s="89"/>
      <c r="BA9" s="96"/>
      <c r="BB9" s="19">
        <v>1837.5</v>
      </c>
      <c r="BC9" s="89"/>
      <c r="BD9" s="96"/>
      <c r="BE9" s="19">
        <v>1838</v>
      </c>
      <c r="BF9" s="89"/>
      <c r="BG9" s="96">
        <v>1050</v>
      </c>
      <c r="BH9" s="19">
        <v>788</v>
      </c>
      <c r="BI9" s="89"/>
      <c r="BJ9" s="96"/>
      <c r="BK9" s="19">
        <v>788</v>
      </c>
      <c r="BL9" s="89"/>
      <c r="BM9" s="96"/>
      <c r="BN9" s="19">
        <v>788</v>
      </c>
      <c r="BO9" s="89">
        <v>1050</v>
      </c>
      <c r="BP9" s="96"/>
      <c r="BQ9" s="19"/>
      <c r="BR9" s="89"/>
      <c r="BS9" s="96"/>
      <c r="BT9" s="19"/>
      <c r="BU9" s="89"/>
      <c r="BV9" s="96"/>
      <c r="BW9" s="19"/>
    </row>
    <row r="10" spans="1:75" s="127" customFormat="1" x14ac:dyDescent="0.45">
      <c r="A10" s="132">
        <v>7</v>
      </c>
      <c r="B10" s="77" t="s">
        <v>65</v>
      </c>
      <c r="C10" s="78" t="s">
        <v>128</v>
      </c>
      <c r="D10" s="128"/>
      <c r="E10" s="129"/>
      <c r="F10" s="129"/>
      <c r="G10" s="131">
        <v>2520</v>
      </c>
      <c r="H10" s="130">
        <v>2520</v>
      </c>
      <c r="I10" s="133"/>
      <c r="J10" s="16">
        <v>2520</v>
      </c>
      <c r="K10" s="18">
        <v>2520</v>
      </c>
      <c r="L10" s="19">
        <v>3780</v>
      </c>
      <c r="M10" s="16">
        <v>1260</v>
      </c>
      <c r="N10" s="18">
        <v>2520</v>
      </c>
      <c r="O10" s="19">
        <v>2520</v>
      </c>
      <c r="P10" s="16">
        <v>1260</v>
      </c>
      <c r="Q10" s="18">
        <v>1260</v>
      </c>
      <c r="R10" s="19">
        <v>2520</v>
      </c>
      <c r="S10" s="16">
        <v>5040</v>
      </c>
      <c r="T10" s="18">
        <v>2520</v>
      </c>
      <c r="U10" s="19">
        <v>5040</v>
      </c>
      <c r="V10" s="89">
        <v>3780</v>
      </c>
      <c r="W10" s="96">
        <v>3780</v>
      </c>
      <c r="X10" s="19">
        <v>5040</v>
      </c>
      <c r="Y10" s="89">
        <v>2520</v>
      </c>
      <c r="Z10" s="96">
        <v>2520</v>
      </c>
      <c r="AA10" s="19">
        <v>5040</v>
      </c>
      <c r="AB10" s="164">
        <v>2520</v>
      </c>
      <c r="AC10" s="96">
        <v>1260</v>
      </c>
      <c r="AD10" s="19">
        <v>6300</v>
      </c>
      <c r="AE10" s="89">
        <v>1260</v>
      </c>
      <c r="AF10" s="96">
        <v>2520</v>
      </c>
      <c r="AG10" s="19">
        <v>5040</v>
      </c>
      <c r="AH10" s="89">
        <v>1260</v>
      </c>
      <c r="AI10" s="96">
        <v>2520</v>
      </c>
      <c r="AJ10" s="19">
        <v>3780</v>
      </c>
      <c r="AK10" s="89">
        <v>2520</v>
      </c>
      <c r="AL10" s="96">
        <v>3780</v>
      </c>
      <c r="AM10" s="19">
        <v>2520</v>
      </c>
      <c r="AN10" s="89">
        <v>3780</v>
      </c>
      <c r="AO10" s="96">
        <v>6300</v>
      </c>
      <c r="AP10" s="19"/>
      <c r="AQ10" s="89">
        <v>7560</v>
      </c>
      <c r="AR10" s="96">
        <v>1260</v>
      </c>
      <c r="AS10" s="19">
        <v>6300</v>
      </c>
      <c r="AT10" s="89">
        <v>5040</v>
      </c>
      <c r="AU10" s="96">
        <v>3780</v>
      </c>
      <c r="AV10" s="19">
        <v>7560</v>
      </c>
      <c r="AW10" s="89">
        <v>8820</v>
      </c>
      <c r="AX10" s="96">
        <v>1260</v>
      </c>
      <c r="AY10" s="19">
        <v>15120</v>
      </c>
      <c r="AZ10" s="89">
        <v>2520</v>
      </c>
      <c r="BA10" s="96">
        <v>2520</v>
      </c>
      <c r="BB10" s="19">
        <v>15120</v>
      </c>
      <c r="BC10" s="89">
        <v>1260</v>
      </c>
      <c r="BD10" s="96">
        <v>1260</v>
      </c>
      <c r="BE10" s="19">
        <v>15120</v>
      </c>
      <c r="BF10" s="89"/>
      <c r="BG10" s="96">
        <v>2520</v>
      </c>
      <c r="BH10" s="19">
        <v>12600</v>
      </c>
      <c r="BI10" s="89"/>
      <c r="BJ10" s="96">
        <v>2520</v>
      </c>
      <c r="BK10" s="19">
        <v>10080</v>
      </c>
      <c r="BL10" s="89"/>
      <c r="BM10" s="96">
        <v>2520</v>
      </c>
      <c r="BN10" s="19">
        <v>7560</v>
      </c>
      <c r="BO10" s="89"/>
      <c r="BP10" s="96"/>
      <c r="BQ10" s="19"/>
      <c r="BR10" s="89">
        <v>2520</v>
      </c>
      <c r="BS10" s="96"/>
      <c r="BT10" s="19"/>
      <c r="BU10" s="89">
        <v>2520</v>
      </c>
      <c r="BV10" s="96"/>
      <c r="BW10" s="19"/>
    </row>
    <row r="11" spans="1:75" s="127" customFormat="1" hidden="1" x14ac:dyDescent="0.45">
      <c r="A11" s="132">
        <v>8</v>
      </c>
      <c r="B11" s="75" t="s">
        <v>65</v>
      </c>
      <c r="C11" s="76" t="s">
        <v>92</v>
      </c>
      <c r="D11" s="128"/>
      <c r="E11" s="129"/>
      <c r="F11" s="129"/>
      <c r="G11" s="131"/>
      <c r="H11" s="130"/>
      <c r="I11" s="133"/>
      <c r="J11" s="16"/>
      <c r="K11" s="18"/>
      <c r="L11" s="19">
        <v>200</v>
      </c>
      <c r="M11" s="16"/>
      <c r="N11" s="18"/>
      <c r="O11" s="19">
        <v>200</v>
      </c>
      <c r="P11" s="16"/>
      <c r="Q11" s="18"/>
      <c r="R11" s="19">
        <v>200</v>
      </c>
      <c r="S11" s="16"/>
      <c r="T11" s="18"/>
      <c r="U11" s="19">
        <v>200</v>
      </c>
      <c r="V11" s="89"/>
      <c r="W11" s="96"/>
      <c r="X11" s="19">
        <v>200</v>
      </c>
      <c r="Y11" s="89"/>
      <c r="Z11" s="96"/>
      <c r="AA11" s="19">
        <v>200</v>
      </c>
      <c r="AB11" s="164"/>
      <c r="AC11" s="96"/>
      <c r="AD11" s="19">
        <v>180</v>
      </c>
      <c r="AE11" s="89"/>
      <c r="AF11" s="96"/>
      <c r="AG11" s="19">
        <v>180</v>
      </c>
      <c r="AH11" s="89"/>
      <c r="AI11" s="96"/>
      <c r="AJ11" s="19">
        <v>180</v>
      </c>
      <c r="AK11" s="89"/>
      <c r="AL11" s="96"/>
      <c r="AM11" s="19">
        <v>180</v>
      </c>
      <c r="AN11" s="89"/>
      <c r="AO11" s="96">
        <v>75</v>
      </c>
      <c r="AP11" s="19">
        <v>65</v>
      </c>
      <c r="AQ11" s="89"/>
      <c r="AR11" s="96">
        <v>20</v>
      </c>
      <c r="AS11" s="19">
        <v>45</v>
      </c>
      <c r="AT11" s="119"/>
      <c r="AU11" s="96">
        <v>45</v>
      </c>
      <c r="AV11" s="19"/>
      <c r="AW11" s="119"/>
      <c r="AX11" s="96"/>
      <c r="AY11" s="19"/>
      <c r="AZ11" s="119"/>
      <c r="BA11" s="96"/>
      <c r="BB11" s="19"/>
      <c r="BC11" s="119"/>
      <c r="BD11" s="96"/>
      <c r="BE11" s="19"/>
      <c r="BF11" s="119"/>
      <c r="BG11" s="96"/>
      <c r="BH11" s="19"/>
      <c r="BI11" s="119"/>
      <c r="BJ11" s="96"/>
      <c r="BK11" s="19"/>
      <c r="BL11" s="119"/>
      <c r="BM11" s="96"/>
      <c r="BN11" s="19"/>
      <c r="BO11" s="119"/>
      <c r="BP11" s="96"/>
      <c r="BQ11" s="19"/>
      <c r="BR11" s="119"/>
      <c r="BS11" s="96"/>
      <c r="BT11" s="19"/>
      <c r="BU11" s="119"/>
      <c r="BV11" s="96"/>
      <c r="BW11" s="19"/>
    </row>
    <row r="12" spans="1:75" s="127" customFormat="1" x14ac:dyDescent="0.45">
      <c r="A12" s="132">
        <v>8</v>
      </c>
      <c r="B12" s="75" t="s">
        <v>65</v>
      </c>
      <c r="C12" s="76" t="s">
        <v>130</v>
      </c>
      <c r="D12" s="128"/>
      <c r="E12" s="129"/>
      <c r="F12" s="129"/>
      <c r="G12" s="131"/>
      <c r="H12" s="130"/>
      <c r="I12" s="133"/>
      <c r="J12" s="16"/>
      <c r="K12" s="18"/>
      <c r="L12" s="19"/>
      <c r="M12" s="16"/>
      <c r="N12" s="18"/>
      <c r="O12" s="19"/>
      <c r="P12" s="16"/>
      <c r="Q12" s="18"/>
      <c r="R12" s="19"/>
      <c r="S12" s="16"/>
      <c r="T12" s="18"/>
      <c r="U12" s="19"/>
      <c r="V12" s="89"/>
      <c r="W12" s="96"/>
      <c r="X12" s="19"/>
      <c r="Y12" s="89"/>
      <c r="Z12" s="96"/>
      <c r="AA12" s="19"/>
      <c r="AB12" s="164"/>
      <c r="AC12" s="96"/>
      <c r="AD12" s="19"/>
      <c r="AE12" s="89"/>
      <c r="AF12" s="96"/>
      <c r="AG12" s="19"/>
      <c r="AH12" s="89"/>
      <c r="AI12" s="96"/>
      <c r="AJ12" s="19"/>
      <c r="AK12" s="89"/>
      <c r="AL12" s="96"/>
      <c r="AM12" s="19"/>
      <c r="AN12" s="89"/>
      <c r="AO12" s="96"/>
      <c r="AP12" s="19"/>
      <c r="AQ12" s="89"/>
      <c r="AR12" s="100"/>
      <c r="AS12" s="19"/>
      <c r="AT12" s="89"/>
      <c r="AU12" s="96"/>
      <c r="AV12" s="19"/>
      <c r="AW12" s="89">
        <v>100</v>
      </c>
      <c r="AX12" s="96"/>
      <c r="AY12" s="19">
        <v>100</v>
      </c>
      <c r="AZ12" s="89"/>
      <c r="BA12" s="96"/>
      <c r="BB12" s="19">
        <v>75</v>
      </c>
      <c r="BC12" s="89"/>
      <c r="BD12" s="96">
        <v>75</v>
      </c>
      <c r="BE12" s="19"/>
      <c r="BF12" s="89">
        <v>250</v>
      </c>
      <c r="BG12" s="96">
        <v>150</v>
      </c>
      <c r="BH12" s="19">
        <v>150</v>
      </c>
      <c r="BI12" s="89"/>
      <c r="BJ12" s="96"/>
      <c r="BK12" s="19">
        <v>150</v>
      </c>
      <c r="BL12" s="89">
        <v>300</v>
      </c>
      <c r="BM12" s="96">
        <v>50</v>
      </c>
      <c r="BN12" s="19">
        <v>400</v>
      </c>
      <c r="BO12" s="89">
        <v>100</v>
      </c>
      <c r="BP12" s="100" t="s">
        <v>136</v>
      </c>
      <c r="BQ12" s="19"/>
      <c r="BR12" s="89"/>
      <c r="BS12" s="100" t="s">
        <v>139</v>
      </c>
      <c r="BT12" s="19"/>
      <c r="BU12" s="89">
        <v>100</v>
      </c>
      <c r="BV12" s="96" t="s">
        <v>138</v>
      </c>
      <c r="BW12" s="19"/>
    </row>
    <row r="13" spans="1:75" s="127" customFormat="1" x14ac:dyDescent="0.45">
      <c r="A13" s="132">
        <v>9</v>
      </c>
      <c r="B13" s="167" t="s">
        <v>65</v>
      </c>
      <c r="C13" s="168" t="s">
        <v>93</v>
      </c>
      <c r="D13" s="128"/>
      <c r="E13" s="129"/>
      <c r="F13" s="129"/>
      <c r="G13" s="131"/>
      <c r="H13" s="130"/>
      <c r="I13" s="133"/>
      <c r="J13" s="16"/>
      <c r="K13" s="18"/>
      <c r="L13" s="19"/>
      <c r="M13" s="16"/>
      <c r="N13" s="18"/>
      <c r="O13" s="19"/>
      <c r="P13" s="16"/>
      <c r="Q13" s="18"/>
      <c r="R13" s="19"/>
      <c r="S13" s="16"/>
      <c r="T13" s="18"/>
      <c r="U13" s="19"/>
      <c r="V13" s="89"/>
      <c r="W13" s="100"/>
      <c r="X13" s="19"/>
      <c r="Y13" s="89"/>
      <c r="Z13" s="100"/>
      <c r="AA13" s="19"/>
      <c r="AB13" s="164">
        <v>500</v>
      </c>
      <c r="AC13" s="96">
        <v>125</v>
      </c>
      <c r="AD13" s="19">
        <v>375</v>
      </c>
      <c r="AE13" s="164">
        <v>750</v>
      </c>
      <c r="AF13" s="96">
        <v>125</v>
      </c>
      <c r="AG13" s="19">
        <v>1000</v>
      </c>
      <c r="AH13" s="164"/>
      <c r="AI13" s="96">
        <v>500</v>
      </c>
      <c r="AJ13" s="19">
        <v>500</v>
      </c>
      <c r="AK13" s="164">
        <v>3738</v>
      </c>
      <c r="AL13" s="96">
        <v>1237.5</v>
      </c>
      <c r="AM13" s="19">
        <v>3000</v>
      </c>
      <c r="AN13" s="164"/>
      <c r="AO13" s="96">
        <v>500</v>
      </c>
      <c r="AP13" s="19">
        <v>2500</v>
      </c>
      <c r="AQ13" s="164"/>
      <c r="AR13" s="96">
        <v>500</v>
      </c>
      <c r="AS13" s="19">
        <v>2000</v>
      </c>
      <c r="AT13" s="164"/>
      <c r="AU13" s="96">
        <v>500</v>
      </c>
      <c r="AV13" s="19">
        <v>1500</v>
      </c>
      <c r="AW13" s="164"/>
      <c r="AX13" s="96">
        <v>625</v>
      </c>
      <c r="AY13" s="19">
        <v>875</v>
      </c>
      <c r="AZ13" s="164">
        <v>1487.5</v>
      </c>
      <c r="BA13" s="96">
        <v>500</v>
      </c>
      <c r="BB13" s="19">
        <v>1862.5</v>
      </c>
      <c r="BC13" s="164"/>
      <c r="BD13" s="96">
        <v>500</v>
      </c>
      <c r="BE13" s="19">
        <v>1363</v>
      </c>
      <c r="BF13" s="164"/>
      <c r="BG13" s="96">
        <v>375</v>
      </c>
      <c r="BH13" s="19">
        <v>987.5</v>
      </c>
      <c r="BI13" s="164"/>
      <c r="BJ13" s="96">
        <v>375</v>
      </c>
      <c r="BK13" s="19">
        <v>613</v>
      </c>
      <c r="BL13" s="164"/>
      <c r="BM13" s="96">
        <v>62.5</v>
      </c>
      <c r="BN13" s="19">
        <v>550</v>
      </c>
      <c r="BO13" s="164"/>
      <c r="BP13" s="96"/>
      <c r="BQ13" s="19"/>
      <c r="BR13" s="164"/>
      <c r="BS13" s="96"/>
      <c r="BT13" s="19"/>
      <c r="BU13" s="164"/>
      <c r="BV13" s="96"/>
      <c r="BW13" s="19"/>
    </row>
    <row r="14" spans="1:75" s="127" customFormat="1" ht="18" thickBot="1" x14ac:dyDescent="0.5">
      <c r="A14" s="132">
        <v>10</v>
      </c>
      <c r="B14" s="142" t="s">
        <v>65</v>
      </c>
      <c r="C14" s="143" t="s">
        <v>96</v>
      </c>
      <c r="D14" s="128"/>
      <c r="E14" s="129"/>
      <c r="F14" s="129"/>
      <c r="G14" s="144">
        <v>750</v>
      </c>
      <c r="H14" s="130">
        <v>250</v>
      </c>
      <c r="I14" s="145"/>
      <c r="J14" s="33"/>
      <c r="K14" s="18">
        <v>500</v>
      </c>
      <c r="L14" s="31">
        <v>500</v>
      </c>
      <c r="M14" s="33">
        <v>750</v>
      </c>
      <c r="N14" s="18">
        <v>500</v>
      </c>
      <c r="O14" s="31">
        <v>750</v>
      </c>
      <c r="P14" s="33">
        <v>750</v>
      </c>
      <c r="Q14" s="18">
        <v>250</v>
      </c>
      <c r="R14" s="31">
        <v>1250</v>
      </c>
      <c r="S14" s="33"/>
      <c r="T14" s="18">
        <v>500</v>
      </c>
      <c r="U14" s="31">
        <v>750</v>
      </c>
      <c r="V14" s="91">
        <v>1000</v>
      </c>
      <c r="W14" s="96">
        <v>500</v>
      </c>
      <c r="X14" s="31">
        <v>1250</v>
      </c>
      <c r="Y14" s="91"/>
      <c r="Z14" s="96">
        <v>750</v>
      </c>
      <c r="AA14" s="31">
        <v>500</v>
      </c>
      <c r="AB14" s="165">
        <v>750</v>
      </c>
      <c r="AC14" s="96">
        <v>500</v>
      </c>
      <c r="AD14" s="31">
        <v>750</v>
      </c>
      <c r="AE14" s="91"/>
      <c r="AF14" s="96">
        <v>250</v>
      </c>
      <c r="AG14" s="31">
        <v>500</v>
      </c>
      <c r="AH14" s="91">
        <v>750</v>
      </c>
      <c r="AI14" s="96"/>
      <c r="AJ14" s="31">
        <v>1250</v>
      </c>
      <c r="AK14" s="91">
        <v>750</v>
      </c>
      <c r="AL14" s="96"/>
      <c r="AM14" s="31">
        <v>2000</v>
      </c>
      <c r="AN14" s="91"/>
      <c r="AO14" s="96">
        <v>250</v>
      </c>
      <c r="AP14" s="31">
        <v>1750</v>
      </c>
      <c r="AQ14" s="91"/>
      <c r="AR14" s="96">
        <v>250</v>
      </c>
      <c r="AS14" s="31">
        <v>1500</v>
      </c>
      <c r="AT14" s="91"/>
      <c r="AU14" s="96">
        <v>250</v>
      </c>
      <c r="AV14" s="31">
        <v>1250</v>
      </c>
      <c r="AW14" s="91"/>
      <c r="AX14" s="96">
        <v>250</v>
      </c>
      <c r="AY14" s="31">
        <v>1000</v>
      </c>
      <c r="AZ14" s="91"/>
      <c r="BA14" s="96">
        <v>250</v>
      </c>
      <c r="BB14" s="31">
        <v>750</v>
      </c>
      <c r="BC14" s="91"/>
      <c r="BD14" s="96"/>
      <c r="BE14" s="31">
        <v>750</v>
      </c>
      <c r="BF14" s="91">
        <v>750</v>
      </c>
      <c r="BG14" s="96"/>
      <c r="BH14" s="31">
        <v>1500</v>
      </c>
      <c r="BI14" s="91"/>
      <c r="BJ14" s="96">
        <v>250</v>
      </c>
      <c r="BK14" s="31">
        <v>1250</v>
      </c>
      <c r="BL14" s="91"/>
      <c r="BM14" s="96">
        <v>250</v>
      </c>
      <c r="BN14" s="31">
        <v>1000</v>
      </c>
      <c r="BO14" s="91"/>
      <c r="BP14" s="96"/>
      <c r="BQ14" s="31"/>
      <c r="BR14" s="91"/>
      <c r="BS14" s="96"/>
      <c r="BT14" s="31"/>
      <c r="BU14" s="91">
        <v>750</v>
      </c>
      <c r="BV14" s="96"/>
      <c r="BW14" s="31"/>
    </row>
    <row r="15" spans="1:75" s="127" customFormat="1" x14ac:dyDescent="0.45">
      <c r="A15" s="132">
        <v>11</v>
      </c>
      <c r="B15" s="146" t="s">
        <v>66</v>
      </c>
      <c r="C15" s="147" t="s">
        <v>97</v>
      </c>
      <c r="D15" s="123"/>
      <c r="E15" s="124"/>
      <c r="F15" s="124"/>
      <c r="G15" s="126"/>
      <c r="H15" s="125">
        <v>100</v>
      </c>
      <c r="I15" s="148"/>
      <c r="J15" s="52"/>
      <c r="K15" s="47"/>
      <c r="L15" s="53">
        <v>400</v>
      </c>
      <c r="M15" s="52"/>
      <c r="N15" s="47"/>
      <c r="O15" s="53">
        <v>400</v>
      </c>
      <c r="P15" s="52">
        <v>100</v>
      </c>
      <c r="Q15" s="47">
        <v>60</v>
      </c>
      <c r="R15" s="53">
        <v>440</v>
      </c>
      <c r="S15" s="52"/>
      <c r="T15" s="47">
        <v>60</v>
      </c>
      <c r="U15" s="53">
        <v>380</v>
      </c>
      <c r="V15" s="93">
        <v>100</v>
      </c>
      <c r="W15" s="95">
        <v>100</v>
      </c>
      <c r="X15" s="53">
        <v>380</v>
      </c>
      <c r="Y15" s="93"/>
      <c r="Z15" s="95">
        <v>140</v>
      </c>
      <c r="AA15" s="53">
        <v>240</v>
      </c>
      <c r="AB15" s="166"/>
      <c r="AC15" s="95">
        <v>60</v>
      </c>
      <c r="AD15" s="53">
        <v>180</v>
      </c>
      <c r="AE15" s="93"/>
      <c r="AF15" s="95">
        <v>60</v>
      </c>
      <c r="AG15" s="53">
        <v>120</v>
      </c>
      <c r="AH15" s="93">
        <v>200</v>
      </c>
      <c r="AI15" s="95">
        <v>60</v>
      </c>
      <c r="AJ15" s="53">
        <v>260</v>
      </c>
      <c r="AK15" s="93"/>
      <c r="AL15" s="95">
        <v>60</v>
      </c>
      <c r="AM15" s="53">
        <v>200</v>
      </c>
      <c r="AN15" s="93">
        <v>100</v>
      </c>
      <c r="AO15" s="95"/>
      <c r="AP15" s="53">
        <v>300</v>
      </c>
      <c r="AQ15" s="118">
        <v>60</v>
      </c>
      <c r="AR15" s="95">
        <v>80</v>
      </c>
      <c r="AS15" s="53">
        <v>280</v>
      </c>
      <c r="AT15" s="118">
        <v>380</v>
      </c>
      <c r="AU15" s="95">
        <v>140</v>
      </c>
      <c r="AV15" s="53">
        <v>520</v>
      </c>
      <c r="AW15" s="118"/>
      <c r="AX15" s="95">
        <v>180</v>
      </c>
      <c r="AY15" s="53">
        <v>340</v>
      </c>
      <c r="AZ15" s="118"/>
      <c r="BA15" s="95"/>
      <c r="BB15" s="53">
        <v>340</v>
      </c>
      <c r="BC15" s="118"/>
      <c r="BD15" s="95">
        <v>100</v>
      </c>
      <c r="BE15" s="53">
        <v>240</v>
      </c>
      <c r="BF15" s="118">
        <v>280</v>
      </c>
      <c r="BG15" s="95">
        <v>40</v>
      </c>
      <c r="BH15" s="53">
        <v>480</v>
      </c>
      <c r="BI15" s="118"/>
      <c r="BJ15" s="95">
        <v>100</v>
      </c>
      <c r="BK15" s="53">
        <v>380</v>
      </c>
      <c r="BL15" s="118">
        <v>260</v>
      </c>
      <c r="BM15" s="95">
        <v>100</v>
      </c>
      <c r="BN15" s="53">
        <v>540</v>
      </c>
      <c r="BO15" s="118"/>
      <c r="BP15" s="95"/>
      <c r="BQ15" s="53"/>
      <c r="BR15" s="118"/>
      <c r="BS15" s="95"/>
      <c r="BT15" s="53"/>
      <c r="BU15" s="118"/>
      <c r="BV15" s="95"/>
      <c r="BW15" s="53"/>
    </row>
    <row r="16" spans="1:75" s="127" customFormat="1" x14ac:dyDescent="0.45">
      <c r="A16" s="132">
        <v>12</v>
      </c>
      <c r="B16" s="174" t="s">
        <v>66</v>
      </c>
      <c r="C16" s="175" t="s">
        <v>98</v>
      </c>
      <c r="D16" s="128"/>
      <c r="E16" s="129"/>
      <c r="F16" s="129"/>
      <c r="G16" s="131"/>
      <c r="H16" s="130"/>
      <c r="I16" s="133"/>
      <c r="J16" s="16"/>
      <c r="K16" s="18"/>
      <c r="L16" s="19">
        <v>60</v>
      </c>
      <c r="M16" s="16"/>
      <c r="N16" s="18"/>
      <c r="O16" s="19">
        <v>60</v>
      </c>
      <c r="P16" s="16">
        <v>100</v>
      </c>
      <c r="Q16" s="18">
        <v>20</v>
      </c>
      <c r="R16" s="19">
        <v>140</v>
      </c>
      <c r="S16" s="16"/>
      <c r="T16" s="18"/>
      <c r="U16" s="19">
        <v>140</v>
      </c>
      <c r="V16" s="89"/>
      <c r="W16" s="96"/>
      <c r="X16" s="19">
        <v>140</v>
      </c>
      <c r="Y16" s="89"/>
      <c r="Z16" s="96">
        <v>100</v>
      </c>
      <c r="AA16" s="19">
        <v>40</v>
      </c>
      <c r="AB16" s="164"/>
      <c r="AC16" s="96"/>
      <c r="AD16" s="19">
        <v>40</v>
      </c>
      <c r="AE16" s="89"/>
      <c r="AF16" s="96"/>
      <c r="AG16" s="19">
        <v>40</v>
      </c>
      <c r="AH16" s="89">
        <v>100</v>
      </c>
      <c r="AI16" s="96"/>
      <c r="AJ16" s="19">
        <v>140</v>
      </c>
      <c r="AK16" s="89"/>
      <c r="AL16" s="96"/>
      <c r="AM16" s="19">
        <v>140</v>
      </c>
      <c r="AN16" s="89"/>
      <c r="AO16" s="96"/>
      <c r="AP16" s="19">
        <v>140</v>
      </c>
      <c r="AQ16" s="119"/>
      <c r="AR16" s="96"/>
      <c r="AS16" s="19">
        <v>140</v>
      </c>
      <c r="AT16" s="119"/>
      <c r="AU16" s="96"/>
      <c r="AV16" s="19">
        <v>140</v>
      </c>
      <c r="AW16" s="119"/>
      <c r="AX16" s="96"/>
      <c r="AY16" s="19">
        <v>140</v>
      </c>
      <c r="AZ16" s="119"/>
      <c r="BA16" s="96"/>
      <c r="BB16" s="19">
        <v>140</v>
      </c>
      <c r="BC16" s="119"/>
      <c r="BD16" s="96"/>
      <c r="BE16" s="19">
        <v>140</v>
      </c>
      <c r="BF16" s="119"/>
      <c r="BG16" s="96"/>
      <c r="BH16" s="19">
        <v>140</v>
      </c>
      <c r="BI16" s="119"/>
      <c r="BJ16" s="96" t="s">
        <v>135</v>
      </c>
      <c r="BK16" s="19">
        <v>120</v>
      </c>
      <c r="BL16" s="119"/>
      <c r="BM16" s="96"/>
      <c r="BN16" s="19">
        <v>120</v>
      </c>
      <c r="BO16" s="119"/>
      <c r="BP16" s="96"/>
      <c r="BQ16" s="19"/>
      <c r="BR16" s="119"/>
      <c r="BS16" s="96"/>
      <c r="BT16" s="19"/>
      <c r="BU16" s="119"/>
      <c r="BV16" s="96"/>
      <c r="BW16" s="19"/>
    </row>
    <row r="17" spans="1:75" s="127" customFormat="1" x14ac:dyDescent="0.45">
      <c r="A17" s="132">
        <v>13</v>
      </c>
      <c r="B17" s="77" t="s">
        <v>66</v>
      </c>
      <c r="C17" s="78" t="s">
        <v>126</v>
      </c>
      <c r="D17" s="128"/>
      <c r="E17" s="129"/>
      <c r="F17" s="129"/>
      <c r="G17" s="131"/>
      <c r="H17" s="130">
        <v>100</v>
      </c>
      <c r="I17" s="133"/>
      <c r="J17" s="16"/>
      <c r="K17" s="18"/>
      <c r="L17" s="19">
        <v>180</v>
      </c>
      <c r="M17" s="16"/>
      <c r="N17" s="18"/>
      <c r="O17" s="19">
        <v>180</v>
      </c>
      <c r="P17" s="16"/>
      <c r="Q17" s="18"/>
      <c r="R17" s="19">
        <v>180</v>
      </c>
      <c r="S17" s="16"/>
      <c r="T17" s="18"/>
      <c r="U17" s="19">
        <v>180</v>
      </c>
      <c r="V17" s="89">
        <v>200</v>
      </c>
      <c r="W17" s="96">
        <v>100</v>
      </c>
      <c r="X17" s="19">
        <v>280</v>
      </c>
      <c r="Y17" s="89"/>
      <c r="Z17" s="96"/>
      <c r="AA17" s="19">
        <v>280</v>
      </c>
      <c r="AB17" s="164"/>
      <c r="AC17" s="96"/>
      <c r="AD17" s="19">
        <v>280</v>
      </c>
      <c r="AE17" s="89"/>
      <c r="AF17" s="96"/>
      <c r="AG17" s="19">
        <v>280</v>
      </c>
      <c r="AH17" s="89"/>
      <c r="AI17" s="96">
        <v>120</v>
      </c>
      <c r="AJ17" s="19">
        <v>160</v>
      </c>
      <c r="AK17" s="89"/>
      <c r="AL17" s="96"/>
      <c r="AM17" s="19">
        <v>160</v>
      </c>
      <c r="AN17" s="89"/>
      <c r="AO17" s="96">
        <v>100</v>
      </c>
      <c r="AP17" s="19">
        <v>60</v>
      </c>
      <c r="AQ17" s="119">
        <v>120</v>
      </c>
      <c r="AR17" s="96"/>
      <c r="AS17" s="19">
        <v>180</v>
      </c>
      <c r="AT17" s="119"/>
      <c r="AU17" s="96"/>
      <c r="AV17" s="19">
        <v>180</v>
      </c>
      <c r="AW17" s="119"/>
      <c r="AX17" s="96">
        <v>120</v>
      </c>
      <c r="AY17" s="19">
        <v>60</v>
      </c>
      <c r="AZ17" s="119">
        <v>100</v>
      </c>
      <c r="BA17" s="96">
        <v>60</v>
      </c>
      <c r="BB17" s="19">
        <v>160</v>
      </c>
      <c r="BC17" s="119">
        <v>100</v>
      </c>
      <c r="BD17" s="96">
        <v>120</v>
      </c>
      <c r="BE17" s="19">
        <v>40</v>
      </c>
      <c r="BF17" s="119"/>
      <c r="BG17" s="96"/>
      <c r="BH17" s="19">
        <v>40</v>
      </c>
      <c r="BI17" s="119">
        <v>120</v>
      </c>
      <c r="BJ17" s="96"/>
      <c r="BK17" s="19">
        <v>160</v>
      </c>
      <c r="BL17" s="119">
        <v>120</v>
      </c>
      <c r="BM17" s="96"/>
      <c r="BN17" s="19">
        <v>280</v>
      </c>
      <c r="BO17" s="119"/>
      <c r="BP17" s="96"/>
      <c r="BQ17" s="19"/>
      <c r="BR17" s="119"/>
      <c r="BS17" s="96"/>
      <c r="BT17" s="19"/>
      <c r="BU17" s="119"/>
      <c r="BV17" s="96"/>
      <c r="BW17" s="19"/>
    </row>
    <row r="18" spans="1:75" s="127" customFormat="1" x14ac:dyDescent="0.45">
      <c r="A18" s="132">
        <v>14</v>
      </c>
      <c r="B18" s="142" t="s">
        <v>66</v>
      </c>
      <c r="C18" s="143" t="s">
        <v>101</v>
      </c>
      <c r="D18" s="128"/>
      <c r="E18" s="129"/>
      <c r="F18" s="129"/>
      <c r="G18" s="144"/>
      <c r="H18" s="130"/>
      <c r="I18" s="145"/>
      <c r="J18" s="33">
        <v>200</v>
      </c>
      <c r="K18" s="18">
        <v>100</v>
      </c>
      <c r="L18" s="31">
        <v>320</v>
      </c>
      <c r="M18" s="33">
        <v>100</v>
      </c>
      <c r="N18" s="18">
        <v>100</v>
      </c>
      <c r="O18" s="31">
        <v>320</v>
      </c>
      <c r="P18" s="33">
        <v>100</v>
      </c>
      <c r="Q18" s="18"/>
      <c r="R18" s="31">
        <v>420</v>
      </c>
      <c r="S18" s="33">
        <v>100</v>
      </c>
      <c r="T18" s="18">
        <v>100</v>
      </c>
      <c r="U18" s="31">
        <v>420</v>
      </c>
      <c r="V18" s="91">
        <v>100</v>
      </c>
      <c r="W18" s="96"/>
      <c r="X18" s="31">
        <v>520</v>
      </c>
      <c r="Y18" s="91"/>
      <c r="Z18" s="96">
        <v>200</v>
      </c>
      <c r="AA18" s="31">
        <v>320</v>
      </c>
      <c r="AB18" s="165"/>
      <c r="AC18" s="96">
        <v>100</v>
      </c>
      <c r="AD18" s="31">
        <v>220</v>
      </c>
      <c r="AE18" s="91"/>
      <c r="AF18" s="96"/>
      <c r="AG18" s="31">
        <v>220</v>
      </c>
      <c r="AH18" s="91">
        <v>200</v>
      </c>
      <c r="AI18" s="96"/>
      <c r="AJ18" s="31">
        <v>420</v>
      </c>
      <c r="AK18" s="91"/>
      <c r="AL18" s="96">
        <v>100</v>
      </c>
      <c r="AM18" s="31">
        <v>320</v>
      </c>
      <c r="AN18" s="91"/>
      <c r="AO18" s="96">
        <v>100</v>
      </c>
      <c r="AP18" s="31">
        <v>220</v>
      </c>
      <c r="AQ18" s="91"/>
      <c r="AR18" s="96">
        <v>100</v>
      </c>
      <c r="AS18" s="31">
        <v>120</v>
      </c>
      <c r="AT18" s="91"/>
      <c r="AU18" s="96">
        <v>100</v>
      </c>
      <c r="AV18" s="31">
        <v>20</v>
      </c>
      <c r="AW18" s="91">
        <v>200</v>
      </c>
      <c r="AX18" s="96">
        <v>100</v>
      </c>
      <c r="AY18" s="31">
        <v>120</v>
      </c>
      <c r="AZ18" s="91">
        <v>100</v>
      </c>
      <c r="BA18" s="96">
        <v>100</v>
      </c>
      <c r="BB18" s="31">
        <v>120</v>
      </c>
      <c r="BC18" s="91">
        <v>100</v>
      </c>
      <c r="BD18" s="96">
        <v>100</v>
      </c>
      <c r="BE18" s="31">
        <v>120</v>
      </c>
      <c r="BF18" s="91">
        <v>100</v>
      </c>
      <c r="BG18" s="96">
        <v>100</v>
      </c>
      <c r="BH18" s="31">
        <v>120</v>
      </c>
      <c r="BI18" s="91">
        <v>100</v>
      </c>
      <c r="BJ18" s="96">
        <v>100</v>
      </c>
      <c r="BK18" s="31">
        <v>120</v>
      </c>
      <c r="BL18" s="91">
        <v>100</v>
      </c>
      <c r="BM18" s="96"/>
      <c r="BN18" s="31">
        <v>220</v>
      </c>
      <c r="BO18" s="91">
        <v>100</v>
      </c>
      <c r="BP18" s="96"/>
      <c r="BQ18" s="31"/>
      <c r="BR18" s="91">
        <v>100</v>
      </c>
      <c r="BS18" s="96"/>
      <c r="BT18" s="31"/>
      <c r="BU18" s="91">
        <v>100</v>
      </c>
      <c r="BV18" s="96"/>
      <c r="BW18" s="31"/>
    </row>
    <row r="19" spans="1:75" s="127" customFormat="1" x14ac:dyDescent="0.45">
      <c r="A19" s="132">
        <v>15</v>
      </c>
      <c r="B19" s="142" t="s">
        <v>66</v>
      </c>
      <c r="C19" s="143" t="s">
        <v>112</v>
      </c>
      <c r="D19" s="128"/>
      <c r="E19" s="129"/>
      <c r="F19" s="129"/>
      <c r="G19" s="144"/>
      <c r="H19" s="130"/>
      <c r="I19" s="145"/>
      <c r="J19" s="33">
        <v>600</v>
      </c>
      <c r="K19" s="18">
        <v>100</v>
      </c>
      <c r="L19" s="31">
        <v>1060</v>
      </c>
      <c r="M19" s="33"/>
      <c r="N19" s="18">
        <v>100</v>
      </c>
      <c r="O19" s="31">
        <v>960</v>
      </c>
      <c r="P19" s="33"/>
      <c r="Q19" s="18">
        <v>100</v>
      </c>
      <c r="R19" s="31">
        <v>860</v>
      </c>
      <c r="S19" s="33"/>
      <c r="T19" s="18">
        <v>100</v>
      </c>
      <c r="U19" s="31">
        <v>760</v>
      </c>
      <c r="V19" s="91"/>
      <c r="W19" s="96">
        <v>160</v>
      </c>
      <c r="X19" s="31">
        <v>600</v>
      </c>
      <c r="Y19" s="91">
        <v>180</v>
      </c>
      <c r="Z19" s="96">
        <v>220</v>
      </c>
      <c r="AA19" s="31">
        <v>540</v>
      </c>
      <c r="AB19" s="164"/>
      <c r="AC19" s="96">
        <v>200</v>
      </c>
      <c r="AD19" s="19">
        <v>340</v>
      </c>
      <c r="AE19" s="89"/>
      <c r="AF19" s="96"/>
      <c r="AG19" s="19">
        <v>340</v>
      </c>
      <c r="AH19" s="89">
        <v>240</v>
      </c>
      <c r="AI19" s="96">
        <v>220</v>
      </c>
      <c r="AJ19" s="19">
        <v>360</v>
      </c>
      <c r="AK19" s="89"/>
      <c r="AL19" s="96">
        <v>100</v>
      </c>
      <c r="AM19" s="19">
        <v>260</v>
      </c>
      <c r="AN19" s="89"/>
      <c r="AO19" s="96">
        <v>240</v>
      </c>
      <c r="AP19" s="19">
        <v>20</v>
      </c>
      <c r="AQ19" s="89">
        <v>200</v>
      </c>
      <c r="AR19" s="96">
        <v>100</v>
      </c>
      <c r="AS19" s="19">
        <v>120</v>
      </c>
      <c r="AT19" s="89">
        <v>200</v>
      </c>
      <c r="AU19" s="96">
        <v>100</v>
      </c>
      <c r="AV19" s="19">
        <v>60</v>
      </c>
      <c r="AW19" s="89">
        <v>400</v>
      </c>
      <c r="AX19" s="96">
        <v>280</v>
      </c>
      <c r="AY19" s="19">
        <v>80</v>
      </c>
      <c r="AZ19" s="89">
        <v>200</v>
      </c>
      <c r="BA19" s="96"/>
      <c r="BB19" s="19">
        <v>280</v>
      </c>
      <c r="BC19" s="89"/>
      <c r="BD19" s="96"/>
      <c r="BE19" s="19">
        <v>380</v>
      </c>
      <c r="BF19" s="89">
        <v>200</v>
      </c>
      <c r="BG19" s="96">
        <v>100</v>
      </c>
      <c r="BH19" s="19">
        <v>480</v>
      </c>
      <c r="BI19" s="89">
        <v>100</v>
      </c>
      <c r="BJ19" s="96">
        <v>220</v>
      </c>
      <c r="BK19" s="19">
        <v>360</v>
      </c>
      <c r="BL19" s="89"/>
      <c r="BM19" s="96"/>
      <c r="BN19" s="19">
        <v>360</v>
      </c>
      <c r="BO19" s="89"/>
      <c r="BP19" s="96"/>
      <c r="BQ19" s="19"/>
      <c r="BR19" s="89"/>
      <c r="BS19" s="96"/>
      <c r="BT19" s="19"/>
      <c r="BU19" s="89">
        <v>200</v>
      </c>
      <c r="BV19" s="96"/>
      <c r="BW19" s="19"/>
    </row>
    <row r="20" spans="1:75" s="127" customFormat="1" ht="18" thickBot="1" x14ac:dyDescent="0.5">
      <c r="A20" s="132">
        <v>16</v>
      </c>
      <c r="B20" s="176" t="s">
        <v>66</v>
      </c>
      <c r="C20" s="177" t="s">
        <v>113</v>
      </c>
      <c r="D20" s="156"/>
      <c r="E20" s="157"/>
      <c r="F20" s="157"/>
      <c r="G20" s="158"/>
      <c r="H20" s="159"/>
      <c r="I20" s="160"/>
      <c r="J20" s="21"/>
      <c r="K20" s="20"/>
      <c r="L20" s="22">
        <v>20</v>
      </c>
      <c r="M20" s="21"/>
      <c r="N20" s="20"/>
      <c r="O20" s="22">
        <v>20</v>
      </c>
      <c r="P20" s="21"/>
      <c r="Q20" s="20"/>
      <c r="R20" s="22">
        <v>20</v>
      </c>
      <c r="S20" s="21"/>
      <c r="T20" s="20"/>
      <c r="U20" s="22">
        <v>20</v>
      </c>
      <c r="V20" s="90"/>
      <c r="W20" s="97"/>
      <c r="X20" s="22">
        <v>20</v>
      </c>
      <c r="Y20" s="90"/>
      <c r="Z20" s="97"/>
      <c r="AA20" s="22">
        <v>20</v>
      </c>
      <c r="AB20" s="90"/>
      <c r="AC20" s="97"/>
      <c r="AD20" s="22">
        <v>20</v>
      </c>
      <c r="AE20" s="90"/>
      <c r="AF20" s="97"/>
      <c r="AG20" s="22">
        <v>20</v>
      </c>
      <c r="AH20" s="90"/>
      <c r="AI20" s="97"/>
      <c r="AJ20" s="22"/>
      <c r="AK20" s="90"/>
      <c r="AL20" s="97"/>
      <c r="AM20" s="22">
        <v>20</v>
      </c>
      <c r="AN20" s="90"/>
      <c r="AO20" s="97"/>
      <c r="AP20" s="22">
        <v>20</v>
      </c>
      <c r="AQ20" s="90"/>
      <c r="AR20" s="97"/>
      <c r="AS20" s="22">
        <v>20</v>
      </c>
      <c r="AT20" s="90"/>
      <c r="AU20" s="97"/>
      <c r="AV20" s="22">
        <v>20</v>
      </c>
      <c r="AW20" s="90"/>
      <c r="AX20" s="97"/>
      <c r="AY20" s="22">
        <v>20</v>
      </c>
      <c r="AZ20" s="90"/>
      <c r="BA20" s="97"/>
      <c r="BB20" s="22">
        <v>20</v>
      </c>
      <c r="BC20" s="90"/>
      <c r="BD20" s="97"/>
      <c r="BE20" s="22">
        <v>20</v>
      </c>
      <c r="BF20" s="90"/>
      <c r="BG20" s="97"/>
      <c r="BH20" s="22"/>
      <c r="BI20" s="90"/>
      <c r="BJ20" s="97"/>
      <c r="BK20" s="22"/>
      <c r="BL20" s="90"/>
      <c r="BM20" s="97"/>
      <c r="BN20" s="22"/>
      <c r="BO20" s="90"/>
      <c r="BP20" s="97"/>
      <c r="BQ20" s="22"/>
      <c r="BR20" s="90"/>
      <c r="BS20" s="97"/>
      <c r="BT20" s="22"/>
      <c r="BU20" s="90"/>
      <c r="BV20" s="97"/>
      <c r="BW20" s="22"/>
    </row>
    <row r="21" spans="1:75" s="127" customFormat="1" x14ac:dyDescent="0.45">
      <c r="A21" s="132">
        <v>17</v>
      </c>
      <c r="B21" s="134" t="s">
        <v>67</v>
      </c>
      <c r="C21" s="135" t="s">
        <v>104</v>
      </c>
      <c r="D21" s="136"/>
      <c r="E21" s="137"/>
      <c r="F21" s="137"/>
      <c r="G21" s="138"/>
      <c r="H21" s="139"/>
      <c r="I21" s="140"/>
      <c r="J21" s="34"/>
      <c r="K21" s="43">
        <v>600</v>
      </c>
      <c r="L21" s="32">
        <v>6780</v>
      </c>
      <c r="M21" s="34"/>
      <c r="N21" s="43"/>
      <c r="O21" s="32">
        <v>6780</v>
      </c>
      <c r="P21" s="34"/>
      <c r="Q21" s="43">
        <v>2400</v>
      </c>
      <c r="R21" s="32">
        <v>4380</v>
      </c>
      <c r="S21" s="34"/>
      <c r="T21" s="43"/>
      <c r="U21" s="32">
        <v>4380</v>
      </c>
      <c r="V21" s="88"/>
      <c r="W21" s="98">
        <v>600</v>
      </c>
      <c r="X21" s="32">
        <v>3780</v>
      </c>
      <c r="Y21" s="88">
        <v>2400</v>
      </c>
      <c r="Z21" s="98">
        <v>600</v>
      </c>
      <c r="AA21" s="32">
        <v>5580</v>
      </c>
      <c r="AB21" s="88"/>
      <c r="AC21" s="98"/>
      <c r="AD21" s="32">
        <v>5580</v>
      </c>
      <c r="AE21" s="88"/>
      <c r="AF21" s="98">
        <v>600</v>
      </c>
      <c r="AG21" s="32">
        <v>4980</v>
      </c>
      <c r="AH21" s="88"/>
      <c r="AI21" s="98">
        <v>600</v>
      </c>
      <c r="AJ21" s="32">
        <v>4380</v>
      </c>
      <c r="AK21" s="88"/>
      <c r="AL21" s="98">
        <v>600</v>
      </c>
      <c r="AM21" s="32">
        <v>3780</v>
      </c>
      <c r="AN21" s="88"/>
      <c r="AO21" s="98">
        <v>600</v>
      </c>
      <c r="AP21" s="32">
        <v>3180</v>
      </c>
      <c r="AQ21" s="88"/>
      <c r="AR21" s="98">
        <v>1200</v>
      </c>
      <c r="AS21" s="32">
        <v>1980</v>
      </c>
      <c r="AT21" s="88"/>
      <c r="AU21" s="98"/>
      <c r="AV21" s="32">
        <v>1980</v>
      </c>
      <c r="AW21" s="88"/>
      <c r="AX21" s="98">
        <v>600</v>
      </c>
      <c r="AY21" s="32">
        <v>1380</v>
      </c>
      <c r="AZ21" s="88">
        <v>2700</v>
      </c>
      <c r="BA21" s="98">
        <v>600</v>
      </c>
      <c r="BB21" s="32">
        <v>3480</v>
      </c>
      <c r="BC21" s="88"/>
      <c r="BD21" s="98">
        <v>900</v>
      </c>
      <c r="BE21" s="32">
        <v>2580</v>
      </c>
      <c r="BF21" s="88"/>
      <c r="BG21" s="98">
        <v>600</v>
      </c>
      <c r="BH21" s="32">
        <v>1980</v>
      </c>
      <c r="BI21" s="88">
        <v>1080</v>
      </c>
      <c r="BJ21" s="98">
        <v>2580</v>
      </c>
      <c r="BK21" s="32">
        <v>480</v>
      </c>
      <c r="BL21" s="88">
        <v>3960</v>
      </c>
      <c r="BM21" s="98">
        <v>600</v>
      </c>
      <c r="BN21" s="32">
        <v>3840</v>
      </c>
      <c r="BO21" s="88">
        <v>11160</v>
      </c>
      <c r="BP21" s="98"/>
      <c r="BQ21" s="32"/>
      <c r="BR21" s="88"/>
      <c r="BS21" s="98"/>
      <c r="BT21" s="32"/>
      <c r="BU21" s="88"/>
      <c r="BV21" s="98"/>
      <c r="BW21" s="32"/>
    </row>
    <row r="22" spans="1:75" s="127" customFormat="1" x14ac:dyDescent="0.45">
      <c r="A22" s="132">
        <v>18</v>
      </c>
      <c r="B22" s="142" t="s">
        <v>67</v>
      </c>
      <c r="C22" s="143" t="s">
        <v>105</v>
      </c>
      <c r="D22" s="128"/>
      <c r="E22" s="129"/>
      <c r="F22" s="129"/>
      <c r="G22" s="144">
        <v>2700</v>
      </c>
      <c r="H22" s="130">
        <v>600</v>
      </c>
      <c r="I22" s="145"/>
      <c r="J22" s="33"/>
      <c r="K22" s="18">
        <v>600</v>
      </c>
      <c r="L22" s="31">
        <v>3600</v>
      </c>
      <c r="M22" s="33"/>
      <c r="N22" s="18">
        <v>1200</v>
      </c>
      <c r="O22" s="31">
        <v>2400</v>
      </c>
      <c r="P22" s="33">
        <v>2700</v>
      </c>
      <c r="Q22" s="18">
        <v>600</v>
      </c>
      <c r="R22" s="31">
        <v>4500</v>
      </c>
      <c r="S22" s="33"/>
      <c r="T22" s="18">
        <v>1200</v>
      </c>
      <c r="U22" s="31">
        <v>3300</v>
      </c>
      <c r="V22" s="91"/>
      <c r="W22" s="96">
        <v>600</v>
      </c>
      <c r="X22" s="31">
        <v>2700</v>
      </c>
      <c r="Y22" s="91">
        <v>2700</v>
      </c>
      <c r="Z22" s="96">
        <v>1200</v>
      </c>
      <c r="AA22" s="31">
        <v>4200</v>
      </c>
      <c r="AB22" s="91">
        <v>2700</v>
      </c>
      <c r="AC22" s="96">
        <v>600</v>
      </c>
      <c r="AD22" s="31">
        <v>6300</v>
      </c>
      <c r="AE22" s="91"/>
      <c r="AF22" s="96">
        <v>1200</v>
      </c>
      <c r="AG22" s="31">
        <v>5100</v>
      </c>
      <c r="AH22" s="91"/>
      <c r="AI22" s="96">
        <v>900</v>
      </c>
      <c r="AJ22" s="31">
        <v>4200</v>
      </c>
      <c r="AK22" s="91"/>
      <c r="AL22" s="96">
        <v>1200</v>
      </c>
      <c r="AM22" s="31">
        <v>3000</v>
      </c>
      <c r="AN22" s="91"/>
      <c r="AO22" s="96">
        <v>1200</v>
      </c>
      <c r="AP22" s="31">
        <v>1800</v>
      </c>
      <c r="AQ22" s="91"/>
      <c r="AR22" s="96">
        <v>600</v>
      </c>
      <c r="AS22" s="31">
        <v>1200</v>
      </c>
      <c r="AT22" s="91">
        <v>2700</v>
      </c>
      <c r="AU22" s="96">
        <v>1500</v>
      </c>
      <c r="AV22" s="31">
        <v>2400</v>
      </c>
      <c r="AW22" s="91"/>
      <c r="AX22" s="96">
        <v>1200</v>
      </c>
      <c r="AY22" s="31">
        <v>1200</v>
      </c>
      <c r="AZ22" s="91">
        <v>2700</v>
      </c>
      <c r="BA22" s="96">
        <v>900</v>
      </c>
      <c r="BB22" s="31">
        <v>3000</v>
      </c>
      <c r="BC22" s="91"/>
      <c r="BD22" s="96">
        <v>1200</v>
      </c>
      <c r="BE22" s="31">
        <v>1800</v>
      </c>
      <c r="BF22" s="91">
        <v>2700</v>
      </c>
      <c r="BG22" s="96">
        <v>1200</v>
      </c>
      <c r="BH22" s="31">
        <v>3300</v>
      </c>
      <c r="BI22" s="91"/>
      <c r="BJ22" s="96">
        <v>1200</v>
      </c>
      <c r="BK22" s="31">
        <v>2100</v>
      </c>
      <c r="BL22" s="91">
        <v>2700</v>
      </c>
      <c r="BM22" s="96">
        <v>750</v>
      </c>
      <c r="BN22" s="31">
        <v>4050</v>
      </c>
      <c r="BO22" s="91">
        <v>2700</v>
      </c>
      <c r="BP22" s="96"/>
      <c r="BQ22" s="31"/>
      <c r="BR22" s="91"/>
      <c r="BS22" s="96"/>
      <c r="BT22" s="31"/>
      <c r="BU22" s="91"/>
      <c r="BV22" s="96"/>
      <c r="BW22" s="31"/>
    </row>
    <row r="23" spans="1:75" s="127" customFormat="1" ht="18" thickBot="1" x14ac:dyDescent="0.5">
      <c r="A23" s="132">
        <v>19</v>
      </c>
      <c r="B23" s="120" t="s">
        <v>68</v>
      </c>
      <c r="C23" s="121" t="s">
        <v>127</v>
      </c>
      <c r="D23" s="149"/>
      <c r="E23" s="150"/>
      <c r="F23" s="150"/>
      <c r="G23" s="144">
        <v>2700</v>
      </c>
      <c r="H23" s="151">
        <v>2700</v>
      </c>
      <c r="I23" s="145"/>
      <c r="J23" s="33"/>
      <c r="K23" s="51"/>
      <c r="L23" s="31">
        <v>9300</v>
      </c>
      <c r="M23" s="33"/>
      <c r="N23" s="51">
        <v>2700</v>
      </c>
      <c r="O23" s="31">
        <v>6600</v>
      </c>
      <c r="P23" s="33">
        <v>2700</v>
      </c>
      <c r="Q23" s="51"/>
      <c r="R23" s="31">
        <v>9300</v>
      </c>
      <c r="S23" s="33"/>
      <c r="T23" s="51">
        <v>2700</v>
      </c>
      <c r="U23" s="31">
        <v>6600</v>
      </c>
      <c r="V23" s="91"/>
      <c r="W23" s="101">
        <v>2700</v>
      </c>
      <c r="X23" s="31">
        <v>3900</v>
      </c>
      <c r="Y23" s="91"/>
      <c r="Z23" s="101"/>
      <c r="AA23" s="31">
        <v>3900</v>
      </c>
      <c r="AB23" s="91"/>
      <c r="AC23" s="101">
        <v>2700</v>
      </c>
      <c r="AD23" s="31">
        <v>1200</v>
      </c>
      <c r="AE23" s="91">
        <v>5400</v>
      </c>
      <c r="AF23" s="101">
        <v>2700</v>
      </c>
      <c r="AG23" s="31">
        <v>3900</v>
      </c>
      <c r="AH23" s="91"/>
      <c r="AI23" s="101"/>
      <c r="AJ23" s="31">
        <v>3900</v>
      </c>
      <c r="AK23" s="91">
        <v>2700</v>
      </c>
      <c r="AL23" s="101">
        <v>2700</v>
      </c>
      <c r="AM23" s="31">
        <v>3900</v>
      </c>
      <c r="AN23" s="91">
        <v>2700</v>
      </c>
      <c r="AO23" s="101"/>
      <c r="AP23" s="31">
        <v>6600</v>
      </c>
      <c r="AQ23" s="91"/>
      <c r="AR23" s="101">
        <v>2700</v>
      </c>
      <c r="AS23" s="31">
        <v>3900</v>
      </c>
      <c r="AT23" s="91"/>
      <c r="AU23" s="101">
        <v>2700</v>
      </c>
      <c r="AV23" s="31">
        <v>1200</v>
      </c>
      <c r="AW23" s="91">
        <v>2700</v>
      </c>
      <c r="AX23" s="101">
        <v>3900</v>
      </c>
      <c r="AY23" s="31"/>
      <c r="AZ23" s="91">
        <v>2700</v>
      </c>
      <c r="BA23" s="101">
        <v>2700</v>
      </c>
      <c r="BB23" s="31">
        <v>0</v>
      </c>
      <c r="BC23" s="91">
        <v>5400</v>
      </c>
      <c r="BD23" s="101"/>
      <c r="BE23" s="31">
        <v>5400</v>
      </c>
      <c r="BF23" s="91">
        <v>2700</v>
      </c>
      <c r="BG23" s="101">
        <v>2700</v>
      </c>
      <c r="BH23" s="31">
        <v>5400</v>
      </c>
      <c r="BI23" s="91">
        <v>2700</v>
      </c>
      <c r="BJ23" s="101">
        <v>2700</v>
      </c>
      <c r="BK23" s="31">
        <v>5400</v>
      </c>
      <c r="BL23" s="91"/>
      <c r="BM23" s="101">
        <v>2700</v>
      </c>
      <c r="BN23" s="31">
        <v>2700</v>
      </c>
      <c r="BO23" s="91">
        <v>2700</v>
      </c>
      <c r="BP23" s="101"/>
      <c r="BQ23" s="31"/>
      <c r="BR23" s="91">
        <v>2700</v>
      </c>
      <c r="BS23" s="101"/>
      <c r="BT23" s="31"/>
      <c r="BU23" s="91">
        <v>5400</v>
      </c>
      <c r="BV23" s="101"/>
      <c r="BW23" s="31"/>
    </row>
    <row r="24" spans="1:75" ht="18" thickBot="1" x14ac:dyDescent="0.5">
      <c r="A24" s="84"/>
      <c r="B24" s="270" t="s">
        <v>52</v>
      </c>
      <c r="C24" s="271"/>
      <c r="D24" s="70">
        <f>SUM(D5:D22)</f>
        <v>0</v>
      </c>
      <c r="E24" s="55">
        <f>SUM(E5:E22)</f>
        <v>0</v>
      </c>
      <c r="F24" s="54">
        <f>SUM(F5:F22)</f>
        <v>0</v>
      </c>
      <c r="G24" s="58">
        <f t="shared" ref="G24:AL24" si="14">SUM(G4:G23)</f>
        <v>18290</v>
      </c>
      <c r="H24" s="57">
        <f t="shared" si="14"/>
        <v>15990</v>
      </c>
      <c r="I24" s="59">
        <f t="shared" si="14"/>
        <v>0</v>
      </c>
      <c r="J24" s="58">
        <f t="shared" si="14"/>
        <v>10880</v>
      </c>
      <c r="K24" s="57">
        <f t="shared" si="14"/>
        <v>13640</v>
      </c>
      <c r="L24" s="59">
        <f t="shared" si="14"/>
        <v>52655</v>
      </c>
      <c r="M24" s="58">
        <f t="shared" si="14"/>
        <v>5430</v>
      </c>
      <c r="N24" s="57">
        <f t="shared" si="14"/>
        <v>20470</v>
      </c>
      <c r="O24" s="59">
        <f t="shared" si="14"/>
        <v>38415</v>
      </c>
      <c r="P24" s="58">
        <f t="shared" si="14"/>
        <v>18590</v>
      </c>
      <c r="Q24" s="57">
        <f t="shared" si="14"/>
        <v>16630</v>
      </c>
      <c r="R24" s="59">
        <f t="shared" si="14"/>
        <v>40375</v>
      </c>
      <c r="S24" s="58">
        <f t="shared" si="14"/>
        <v>12700</v>
      </c>
      <c r="T24" s="57">
        <f t="shared" si="14"/>
        <v>20180</v>
      </c>
      <c r="U24" s="59">
        <f t="shared" si="14"/>
        <v>32895</v>
      </c>
      <c r="V24" s="94">
        <f t="shared" si="14"/>
        <v>22560</v>
      </c>
      <c r="W24" s="102">
        <f t="shared" si="14"/>
        <v>21112.5</v>
      </c>
      <c r="X24" s="59">
        <f t="shared" si="14"/>
        <v>34342.5</v>
      </c>
      <c r="Y24" s="94">
        <f t="shared" si="14"/>
        <v>24170</v>
      </c>
      <c r="Z24" s="102">
        <f t="shared" si="14"/>
        <v>17660</v>
      </c>
      <c r="AA24" s="59">
        <f t="shared" si="14"/>
        <v>40832.5</v>
      </c>
      <c r="AB24" s="94">
        <f t="shared" si="14"/>
        <v>21110</v>
      </c>
      <c r="AC24" s="102">
        <f t="shared" si="14"/>
        <v>20835</v>
      </c>
      <c r="AD24" s="59">
        <f t="shared" si="14"/>
        <v>41087.5</v>
      </c>
      <c r="AE24" s="94">
        <f t="shared" si="14"/>
        <v>25720</v>
      </c>
      <c r="AF24" s="102">
        <f t="shared" si="14"/>
        <v>23815</v>
      </c>
      <c r="AG24" s="59">
        <f t="shared" si="14"/>
        <v>42992.5</v>
      </c>
      <c r="AH24" s="94">
        <f t="shared" si="14"/>
        <v>14980</v>
      </c>
      <c r="AI24" s="102">
        <f t="shared" si="14"/>
        <v>19570</v>
      </c>
      <c r="AJ24" s="59">
        <f t="shared" si="14"/>
        <v>38382.5</v>
      </c>
      <c r="AK24" s="94">
        <f t="shared" si="14"/>
        <v>20128</v>
      </c>
      <c r="AL24" s="102">
        <f t="shared" si="14"/>
        <v>26127.5</v>
      </c>
      <c r="AM24" s="59">
        <f t="shared" ref="AM24:BK24" si="15">SUM(AM4:AM23)</f>
        <v>33662.5</v>
      </c>
      <c r="AN24" s="94">
        <f t="shared" si="15"/>
        <v>25840</v>
      </c>
      <c r="AO24" s="102">
        <f t="shared" si="15"/>
        <v>27785</v>
      </c>
      <c r="AP24" s="59">
        <f t="shared" si="15"/>
        <v>31677.5</v>
      </c>
      <c r="AQ24" s="94">
        <f t="shared" si="15"/>
        <v>27420</v>
      </c>
      <c r="AR24" s="102">
        <f t="shared" si="15"/>
        <v>21050</v>
      </c>
      <c r="AS24" s="59">
        <f t="shared" si="15"/>
        <v>38047</v>
      </c>
      <c r="AT24" s="94">
        <f t="shared" si="15"/>
        <v>25540</v>
      </c>
      <c r="AU24" s="102">
        <f t="shared" si="15"/>
        <v>27715</v>
      </c>
      <c r="AV24" s="59">
        <f t="shared" si="15"/>
        <v>36112.5</v>
      </c>
      <c r="AW24" s="94">
        <f t="shared" si="15"/>
        <v>36110</v>
      </c>
      <c r="AX24" s="102">
        <f t="shared" si="15"/>
        <v>31252.5</v>
      </c>
      <c r="AY24" s="59">
        <f t="shared" si="15"/>
        <v>38210.5</v>
      </c>
      <c r="AZ24" s="94">
        <f t="shared" si="15"/>
        <v>28207.5</v>
      </c>
      <c r="BA24" s="102">
        <f t="shared" si="15"/>
        <v>17050</v>
      </c>
      <c r="BB24" s="59">
        <f t="shared" si="15"/>
        <v>43272.5</v>
      </c>
      <c r="BC24" s="94">
        <f t="shared" si="15"/>
        <v>18540</v>
      </c>
      <c r="BD24" s="102">
        <f t="shared" si="15"/>
        <v>19535</v>
      </c>
      <c r="BE24" s="59">
        <f t="shared" si="15"/>
        <v>42279</v>
      </c>
      <c r="BF24" s="94">
        <f t="shared" si="15"/>
        <v>26430</v>
      </c>
      <c r="BG24" s="102">
        <f t="shared" si="15"/>
        <v>23935</v>
      </c>
      <c r="BH24" s="59">
        <f t="shared" si="15"/>
        <v>44804</v>
      </c>
      <c r="BI24" s="94">
        <f t="shared" si="15"/>
        <v>21950</v>
      </c>
      <c r="BJ24" s="102">
        <f t="shared" si="15"/>
        <v>27665</v>
      </c>
      <c r="BK24" s="59">
        <f t="shared" si="15"/>
        <v>39069</v>
      </c>
      <c r="BL24" s="94">
        <f t="shared" ref="BL24:BN24" si="16">SUM(BL4:BL23)</f>
        <v>27980</v>
      </c>
      <c r="BM24" s="102">
        <f t="shared" si="16"/>
        <v>30952.5</v>
      </c>
      <c r="BN24" s="59">
        <f t="shared" si="16"/>
        <v>36096</v>
      </c>
      <c r="BO24" s="94">
        <f t="shared" ref="BO24:BT24" si="17">SUM(BO4:BO23)</f>
        <v>46370</v>
      </c>
      <c r="BP24" s="102">
        <f t="shared" si="17"/>
        <v>0</v>
      </c>
      <c r="BQ24" s="59">
        <f t="shared" si="17"/>
        <v>0</v>
      </c>
      <c r="BR24" s="94">
        <f t="shared" si="17"/>
        <v>30940</v>
      </c>
      <c r="BS24" s="102">
        <f t="shared" si="17"/>
        <v>0</v>
      </c>
      <c r="BT24" s="59">
        <f t="shared" si="17"/>
        <v>0</v>
      </c>
      <c r="BU24" s="94">
        <f t="shared" ref="BU24:BW24" si="18">SUM(BU4:BU23)</f>
        <v>33850</v>
      </c>
      <c r="BV24" s="102">
        <f t="shared" si="18"/>
        <v>0</v>
      </c>
      <c r="BW24" s="59">
        <f t="shared" si="18"/>
        <v>0</v>
      </c>
    </row>
    <row r="27" spans="1:75" x14ac:dyDescent="0.45">
      <c r="B27" s="171"/>
      <c r="C27" s="13" t="s">
        <v>107</v>
      </c>
    </row>
    <row r="28" spans="1:75" x14ac:dyDescent="0.45">
      <c r="B28" s="81"/>
      <c r="C28" s="13" t="s">
        <v>108</v>
      </c>
    </row>
  </sheetData>
  <mergeCells count="25">
    <mergeCell ref="BU2:BW2"/>
    <mergeCell ref="BR2:BT2"/>
    <mergeCell ref="BO2:BQ2"/>
    <mergeCell ref="B24:C24"/>
    <mergeCell ref="AT2:AV2"/>
    <mergeCell ref="AW2:AY2"/>
    <mergeCell ref="AZ2:BB2"/>
    <mergeCell ref="S2:U2"/>
    <mergeCell ref="V2:X2"/>
    <mergeCell ref="Y2:AA2"/>
    <mergeCell ref="AB2:AD2"/>
    <mergeCell ref="AE2:AG2"/>
    <mergeCell ref="AH2:AJ2"/>
    <mergeCell ref="B2:C3"/>
    <mergeCell ref="G2:I2"/>
    <mergeCell ref="J2:L2"/>
    <mergeCell ref="M2:O2"/>
    <mergeCell ref="P2:R2"/>
    <mergeCell ref="BL2:BN2"/>
    <mergeCell ref="AK2:AM2"/>
    <mergeCell ref="AN2:AP2"/>
    <mergeCell ref="BF2:BH2"/>
    <mergeCell ref="AQ2:AS2"/>
    <mergeCell ref="BC2:BE2"/>
    <mergeCell ref="BI2:BK2"/>
  </mergeCells>
  <phoneticPr fontId="2"/>
  <pageMargins left="0.70866141732283472" right="0.70866141732283472" top="0.74803149606299213" bottom="0.74803149606299213" header="0.31496062992125984" footer="0.31496062992125984"/>
  <pageSetup paperSize="8" scale="47" fitToHeight="0" orientation="landscape" horizontalDpi="1200" verticalDpi="1200" r:id="rId1"/>
  <headerFooter>
    <oddHeader>&amp;R&amp;D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759BB-E541-473D-8A51-DAC1198B265B}">
  <sheetPr>
    <pageSetUpPr fitToPage="1"/>
  </sheetPr>
  <dimension ref="A1:CF49"/>
  <sheetViews>
    <sheetView tabSelected="1" zoomScale="70" zoomScaleNormal="70" workbookViewId="0">
      <pane xSplit="4" ySplit="3" topLeftCell="BX7" activePane="bottomRight" state="frozen"/>
      <selection activeCell="BJ61" sqref="BJ61"/>
      <selection pane="topRight" activeCell="BJ61" sqref="BJ61"/>
      <selection pane="bottomLeft" activeCell="BJ61" sqref="BJ61"/>
      <selection pane="bottomRight" activeCell="CJ8" sqref="CJ8"/>
    </sheetView>
  </sheetViews>
  <sheetFormatPr defaultColWidth="10.59765625" defaultRowHeight="17.399999999999999" x14ac:dyDescent="0.45"/>
  <cols>
    <col min="1" max="1" width="5.09765625" style="83" bestFit="1" customWidth="1"/>
    <col min="2" max="2" width="21.59765625" style="13" bestFit="1" customWidth="1"/>
    <col min="3" max="3" width="24.09765625" style="13" bestFit="1" customWidth="1"/>
    <col min="4" max="4" width="10.59765625" style="13" customWidth="1"/>
    <col min="5" max="5" width="11" style="13" customWidth="1"/>
    <col min="6" max="6" width="10.69921875" style="13" customWidth="1"/>
    <col min="7" max="13" width="11" style="13" customWidth="1"/>
    <col min="14" max="14" width="10.8984375" style="13" customWidth="1"/>
    <col min="15" max="17" width="11" style="13" customWidth="1"/>
    <col min="18" max="19" width="10.8984375" style="13" customWidth="1"/>
    <col min="20" max="20" width="11" style="13" customWidth="1"/>
    <col min="21" max="21" width="10.8984375" style="13" customWidth="1"/>
    <col min="22" max="23" width="10.69921875" style="13" customWidth="1"/>
    <col min="24" max="25" width="11" style="13" customWidth="1"/>
    <col min="26" max="28" width="10.69921875" style="13" customWidth="1"/>
    <col min="29" max="29" width="11" style="13" customWidth="1"/>
    <col min="30" max="32" width="10.69921875" style="13" customWidth="1"/>
    <col min="33" max="33" width="11" style="13" customWidth="1"/>
    <col min="34" max="36" width="10.69921875" style="13" customWidth="1"/>
    <col min="37" max="37" width="11" style="13" customWidth="1"/>
    <col min="38" max="40" width="10.69921875" style="13" customWidth="1"/>
    <col min="41" max="41" width="11" style="13" customWidth="1"/>
    <col min="42" max="44" width="10.69921875" style="13" customWidth="1"/>
    <col min="45" max="45" width="11" style="13" customWidth="1"/>
    <col min="46" max="48" width="10.69921875" style="13" customWidth="1"/>
    <col min="49" max="49" width="11" style="13" customWidth="1"/>
    <col min="50" max="52" width="10.69921875" style="13" customWidth="1"/>
    <col min="53" max="53" width="11" style="13" customWidth="1"/>
    <col min="54" max="56" width="10.69921875" style="13" customWidth="1"/>
    <col min="57" max="57" width="11" style="13" customWidth="1"/>
    <col min="58" max="60" width="10.69921875" style="13" customWidth="1"/>
    <col min="61" max="61" width="11" style="13" customWidth="1"/>
    <col min="62" max="63" width="10.69921875" style="13" bestFit="1" customWidth="1"/>
    <col min="64" max="64" width="10.69921875" style="13" customWidth="1"/>
    <col min="65" max="65" width="11" style="13" bestFit="1" customWidth="1"/>
    <col min="66" max="67" width="10.69921875" style="13" bestFit="1" customWidth="1"/>
    <col min="68" max="68" width="10.69921875" style="13" customWidth="1"/>
    <col min="69" max="69" width="11" style="13" bestFit="1" customWidth="1"/>
    <col min="70" max="71" width="10.69921875" style="13" bestFit="1" customWidth="1"/>
    <col min="72" max="72" width="10.69921875" style="13" customWidth="1"/>
    <col min="73" max="73" width="11" style="13" bestFit="1" customWidth="1"/>
    <col min="74" max="75" width="10.8984375" style="13" bestFit="1" customWidth="1"/>
    <col min="76" max="76" width="10.8984375" style="13" customWidth="1"/>
    <col min="77" max="77" width="11" style="13" bestFit="1" customWidth="1"/>
    <col min="78" max="79" width="10.69921875" style="13" bestFit="1" customWidth="1"/>
    <col min="80" max="80" width="10.69921875" style="13" customWidth="1"/>
    <col min="81" max="81" width="11" style="13" bestFit="1" customWidth="1"/>
    <col min="82" max="83" width="10.69921875" style="13" bestFit="1" customWidth="1"/>
    <col min="84" max="84" width="10.69921875" style="13" customWidth="1"/>
    <col min="85" max="16384" width="10.59765625" style="13"/>
  </cols>
  <sheetData>
    <row r="1" spans="1:84" ht="22.2" thickBot="1" x14ac:dyDescent="0.5">
      <c r="B1" s="178" t="s">
        <v>131</v>
      </c>
    </row>
    <row r="2" spans="1:84" ht="18" customHeight="1" x14ac:dyDescent="0.45">
      <c r="B2" s="222" t="s">
        <v>0</v>
      </c>
      <c r="C2" s="223"/>
      <c r="D2" s="226" t="s">
        <v>60</v>
      </c>
      <c r="E2" s="276">
        <v>45505</v>
      </c>
      <c r="F2" s="277"/>
      <c r="G2" s="277"/>
      <c r="H2" s="278"/>
      <c r="I2" s="276">
        <f>E2+31</f>
        <v>45536</v>
      </c>
      <c r="J2" s="277"/>
      <c r="K2" s="277"/>
      <c r="L2" s="278"/>
      <c r="M2" s="276">
        <f>I2+31</f>
        <v>45567</v>
      </c>
      <c r="N2" s="277"/>
      <c r="O2" s="277"/>
      <c r="P2" s="278"/>
      <c r="Q2" s="276">
        <f t="shared" ref="Q2" si="0">M2+31</f>
        <v>45598</v>
      </c>
      <c r="R2" s="277"/>
      <c r="S2" s="277"/>
      <c r="T2" s="278"/>
      <c r="U2" s="276">
        <f t="shared" ref="U2" si="1">Q2+31</f>
        <v>45629</v>
      </c>
      <c r="V2" s="277"/>
      <c r="W2" s="277"/>
      <c r="X2" s="278"/>
      <c r="Y2" s="276">
        <f t="shared" ref="Y2" si="2">U2+31</f>
        <v>45660</v>
      </c>
      <c r="Z2" s="277"/>
      <c r="AA2" s="277"/>
      <c r="AB2" s="278"/>
      <c r="AC2" s="276">
        <f t="shared" ref="AC2" si="3">Y2+31</f>
        <v>45691</v>
      </c>
      <c r="AD2" s="277"/>
      <c r="AE2" s="277"/>
      <c r="AF2" s="278"/>
      <c r="AG2" s="276">
        <f t="shared" ref="AG2" si="4">AC2+31</f>
        <v>45722</v>
      </c>
      <c r="AH2" s="277"/>
      <c r="AI2" s="277"/>
      <c r="AJ2" s="278"/>
      <c r="AK2" s="276">
        <f t="shared" ref="AK2" si="5">AG2+31</f>
        <v>45753</v>
      </c>
      <c r="AL2" s="277"/>
      <c r="AM2" s="277"/>
      <c r="AN2" s="278"/>
      <c r="AO2" s="276">
        <f t="shared" ref="AO2" si="6">AK2+31</f>
        <v>45784</v>
      </c>
      <c r="AP2" s="277"/>
      <c r="AQ2" s="277"/>
      <c r="AR2" s="278"/>
      <c r="AS2" s="276">
        <f t="shared" ref="AS2" si="7">AO2+31</f>
        <v>45815</v>
      </c>
      <c r="AT2" s="277"/>
      <c r="AU2" s="277"/>
      <c r="AV2" s="278"/>
      <c r="AW2" s="276">
        <f t="shared" ref="AW2" si="8">AS2+31</f>
        <v>45846</v>
      </c>
      <c r="AX2" s="277"/>
      <c r="AY2" s="277"/>
      <c r="AZ2" s="278"/>
      <c r="BA2" s="276">
        <f t="shared" ref="BA2" si="9">AW2+31</f>
        <v>45877</v>
      </c>
      <c r="BB2" s="277"/>
      <c r="BC2" s="277"/>
      <c r="BD2" s="278"/>
      <c r="BE2" s="276">
        <f t="shared" ref="BE2" si="10">BA2+31</f>
        <v>45908</v>
      </c>
      <c r="BF2" s="277"/>
      <c r="BG2" s="277"/>
      <c r="BH2" s="278"/>
      <c r="BI2" s="276">
        <f t="shared" ref="BI2" si="11">BE2+31</f>
        <v>45939</v>
      </c>
      <c r="BJ2" s="277"/>
      <c r="BK2" s="277"/>
      <c r="BL2" s="278"/>
      <c r="BM2" s="276">
        <f t="shared" ref="BM2" si="12">BI2+31</f>
        <v>45970</v>
      </c>
      <c r="BN2" s="277"/>
      <c r="BO2" s="277"/>
      <c r="BP2" s="278"/>
      <c r="BQ2" s="276">
        <f t="shared" ref="BQ2" si="13">BM2+31</f>
        <v>46001</v>
      </c>
      <c r="BR2" s="277"/>
      <c r="BS2" s="277"/>
      <c r="BT2" s="278"/>
      <c r="BU2" s="276">
        <f t="shared" ref="BU2" si="14">BQ2+31</f>
        <v>46032</v>
      </c>
      <c r="BV2" s="277"/>
      <c r="BW2" s="277"/>
      <c r="BX2" s="278"/>
      <c r="BY2" s="276">
        <f t="shared" ref="BY2" si="15">BU2+31</f>
        <v>46063</v>
      </c>
      <c r="BZ2" s="277"/>
      <c r="CA2" s="277"/>
      <c r="CB2" s="278"/>
      <c r="CC2" s="276">
        <f t="shared" ref="CC2" si="16">BY2+31</f>
        <v>46094</v>
      </c>
      <c r="CD2" s="277"/>
      <c r="CE2" s="277"/>
      <c r="CF2" s="278"/>
    </row>
    <row r="3" spans="1:84" ht="18" thickBot="1" x14ac:dyDescent="0.5">
      <c r="B3" s="224"/>
      <c r="C3" s="225"/>
      <c r="D3" s="227"/>
      <c r="E3" s="38" t="s">
        <v>55</v>
      </c>
      <c r="F3" s="37" t="s">
        <v>54</v>
      </c>
      <c r="G3" s="182" t="s">
        <v>56</v>
      </c>
      <c r="H3" s="196" t="s">
        <v>142</v>
      </c>
      <c r="I3" s="189" t="s">
        <v>55</v>
      </c>
      <c r="J3" s="37" t="s">
        <v>54</v>
      </c>
      <c r="K3" s="182" t="s">
        <v>56</v>
      </c>
      <c r="L3" s="196" t="s">
        <v>142</v>
      </c>
      <c r="M3" s="38" t="s">
        <v>55</v>
      </c>
      <c r="N3" s="37" t="s">
        <v>54</v>
      </c>
      <c r="O3" s="182" t="s">
        <v>56</v>
      </c>
      <c r="P3" s="196" t="s">
        <v>142</v>
      </c>
      <c r="Q3" s="38" t="s">
        <v>55</v>
      </c>
      <c r="R3" s="37" t="s">
        <v>54</v>
      </c>
      <c r="S3" s="182" t="s">
        <v>56</v>
      </c>
      <c r="T3" s="196" t="s">
        <v>142</v>
      </c>
      <c r="U3" s="38" t="s">
        <v>55</v>
      </c>
      <c r="V3" s="37" t="s">
        <v>54</v>
      </c>
      <c r="W3" s="182" t="s">
        <v>56</v>
      </c>
      <c r="X3" s="196" t="s">
        <v>142</v>
      </c>
      <c r="Y3" s="87" t="s">
        <v>55</v>
      </c>
      <c r="Z3" s="36" t="s">
        <v>54</v>
      </c>
      <c r="AA3" s="182" t="s">
        <v>56</v>
      </c>
      <c r="AB3" s="196" t="s">
        <v>143</v>
      </c>
      <c r="AC3" s="208" t="s">
        <v>55</v>
      </c>
      <c r="AD3" s="36" t="s">
        <v>54</v>
      </c>
      <c r="AE3" s="182" t="s">
        <v>56</v>
      </c>
      <c r="AF3" s="196" t="s">
        <v>143</v>
      </c>
      <c r="AG3" s="208" t="s">
        <v>55</v>
      </c>
      <c r="AH3" s="36" t="s">
        <v>54</v>
      </c>
      <c r="AI3" s="182" t="s">
        <v>56</v>
      </c>
      <c r="AJ3" s="196" t="s">
        <v>143</v>
      </c>
      <c r="AK3" s="208" t="s">
        <v>55</v>
      </c>
      <c r="AL3" s="36" t="s">
        <v>54</v>
      </c>
      <c r="AM3" s="182" t="s">
        <v>56</v>
      </c>
      <c r="AN3" s="196" t="s">
        <v>143</v>
      </c>
      <c r="AO3" s="208" t="s">
        <v>55</v>
      </c>
      <c r="AP3" s="36" t="s">
        <v>54</v>
      </c>
      <c r="AQ3" s="182" t="s">
        <v>56</v>
      </c>
      <c r="AR3" s="196" t="s">
        <v>143</v>
      </c>
      <c r="AS3" s="208" t="s">
        <v>55</v>
      </c>
      <c r="AT3" s="36" t="s">
        <v>54</v>
      </c>
      <c r="AU3" s="182" t="s">
        <v>56</v>
      </c>
      <c r="AV3" s="196" t="s">
        <v>143</v>
      </c>
      <c r="AW3" s="208" t="s">
        <v>55</v>
      </c>
      <c r="AX3" s="36" t="s">
        <v>54</v>
      </c>
      <c r="AY3" s="182" t="s">
        <v>56</v>
      </c>
      <c r="AZ3" s="196" t="s">
        <v>143</v>
      </c>
      <c r="BA3" s="208" t="s">
        <v>55</v>
      </c>
      <c r="BB3" s="36" t="s">
        <v>54</v>
      </c>
      <c r="BC3" s="182" t="s">
        <v>56</v>
      </c>
      <c r="BD3" s="196" t="s">
        <v>144</v>
      </c>
      <c r="BE3" s="208" t="s">
        <v>55</v>
      </c>
      <c r="BF3" s="36" t="s">
        <v>54</v>
      </c>
      <c r="BG3" s="182" t="s">
        <v>56</v>
      </c>
      <c r="BH3" s="196" t="s">
        <v>143</v>
      </c>
      <c r="BI3" s="208" t="s">
        <v>55</v>
      </c>
      <c r="BJ3" s="36" t="s">
        <v>54</v>
      </c>
      <c r="BK3" s="182" t="s">
        <v>56</v>
      </c>
      <c r="BL3" s="196" t="s">
        <v>143</v>
      </c>
      <c r="BM3" s="208" t="s">
        <v>55</v>
      </c>
      <c r="BN3" s="36" t="s">
        <v>54</v>
      </c>
      <c r="BO3" s="182" t="s">
        <v>56</v>
      </c>
      <c r="BP3" s="196" t="s">
        <v>143</v>
      </c>
      <c r="BQ3" s="208" t="s">
        <v>55</v>
      </c>
      <c r="BR3" s="36" t="s">
        <v>54</v>
      </c>
      <c r="BS3" s="182" t="s">
        <v>56</v>
      </c>
      <c r="BT3" s="196" t="s">
        <v>143</v>
      </c>
      <c r="BU3" s="208" t="s">
        <v>55</v>
      </c>
      <c r="BV3" s="36" t="s">
        <v>54</v>
      </c>
      <c r="BW3" s="182" t="s">
        <v>56</v>
      </c>
      <c r="BX3" s="196" t="s">
        <v>143</v>
      </c>
      <c r="BY3" s="208" t="s">
        <v>55</v>
      </c>
      <c r="BZ3" s="36" t="s">
        <v>54</v>
      </c>
      <c r="CA3" s="182" t="s">
        <v>56</v>
      </c>
      <c r="CB3" s="196" t="s">
        <v>143</v>
      </c>
      <c r="CC3" s="208" t="s">
        <v>55</v>
      </c>
      <c r="CD3" s="36" t="s">
        <v>54</v>
      </c>
      <c r="CE3" s="182" t="s">
        <v>56</v>
      </c>
      <c r="CF3" s="196" t="s">
        <v>143</v>
      </c>
    </row>
    <row r="4" spans="1:84" x14ac:dyDescent="0.45">
      <c r="A4" s="230">
        <v>1</v>
      </c>
      <c r="B4" s="232" t="s">
        <v>63</v>
      </c>
      <c r="C4" s="234" t="s">
        <v>64</v>
      </c>
      <c r="D4" s="46" t="s">
        <v>57</v>
      </c>
      <c r="E4" s="236">
        <v>3200</v>
      </c>
      <c r="F4" s="47">
        <v>800</v>
      </c>
      <c r="G4" s="272">
        <v>4800</v>
      </c>
      <c r="H4" s="197">
        <v>5</v>
      </c>
      <c r="I4" s="274">
        <v>1600</v>
      </c>
      <c r="J4" s="47">
        <v>1600</v>
      </c>
      <c r="K4" s="272">
        <v>4400</v>
      </c>
      <c r="L4" s="197">
        <v>4</v>
      </c>
      <c r="M4" s="236">
        <v>2400</v>
      </c>
      <c r="N4" s="47">
        <v>800</v>
      </c>
      <c r="O4" s="272">
        <v>5600</v>
      </c>
      <c r="P4" s="197">
        <v>5</v>
      </c>
      <c r="Q4" s="236">
        <v>1600</v>
      </c>
      <c r="R4" s="47">
        <v>2400</v>
      </c>
      <c r="S4" s="272">
        <v>4000</v>
      </c>
      <c r="T4" s="197">
        <v>2</v>
      </c>
      <c r="U4" s="283">
        <v>2400</v>
      </c>
      <c r="V4" s="47"/>
      <c r="W4" s="272">
        <v>6000</v>
      </c>
      <c r="X4" s="197">
        <v>5</v>
      </c>
      <c r="Y4" s="243">
        <v>1600</v>
      </c>
      <c r="Z4" s="95">
        <v>1600</v>
      </c>
      <c r="AA4" s="272">
        <v>5600</v>
      </c>
      <c r="AB4" s="197">
        <v>5</v>
      </c>
      <c r="AC4" s="279"/>
      <c r="AD4" s="95">
        <v>1600</v>
      </c>
      <c r="AE4" s="272">
        <v>5600</v>
      </c>
      <c r="AF4" s="197">
        <v>5</v>
      </c>
      <c r="AG4" s="279">
        <v>4800</v>
      </c>
      <c r="AH4" s="95">
        <v>1600</v>
      </c>
      <c r="AI4" s="272">
        <v>6400</v>
      </c>
      <c r="AJ4" s="197">
        <v>5</v>
      </c>
      <c r="AK4" s="279"/>
      <c r="AL4" s="95">
        <v>800</v>
      </c>
      <c r="AM4" s="272">
        <v>5200</v>
      </c>
      <c r="AN4" s="197">
        <v>5</v>
      </c>
      <c r="AO4" s="279"/>
      <c r="AP4" s="95">
        <v>800</v>
      </c>
      <c r="AQ4" s="272">
        <v>3200</v>
      </c>
      <c r="AR4" s="197">
        <v>3</v>
      </c>
      <c r="AS4" s="279"/>
      <c r="AT4" s="95">
        <v>1600</v>
      </c>
      <c r="AU4" s="272">
        <v>1600</v>
      </c>
      <c r="AV4" s="197">
        <v>2</v>
      </c>
      <c r="AW4" s="279">
        <v>4000</v>
      </c>
      <c r="AX4" s="95">
        <v>800</v>
      </c>
      <c r="AY4" s="272">
        <v>4400</v>
      </c>
      <c r="AZ4" s="197">
        <v>5</v>
      </c>
      <c r="BA4" s="279">
        <v>5600</v>
      </c>
      <c r="BB4" s="95">
        <v>1600</v>
      </c>
      <c r="BC4" s="272">
        <v>8000</v>
      </c>
      <c r="BD4" s="197">
        <v>5</v>
      </c>
      <c r="BE4" s="279">
        <v>1600</v>
      </c>
      <c r="BF4" s="95">
        <v>1600</v>
      </c>
      <c r="BG4" s="272">
        <v>7200</v>
      </c>
      <c r="BH4" s="197">
        <v>5</v>
      </c>
      <c r="BI4" s="279">
        <v>3200</v>
      </c>
      <c r="BJ4" s="95">
        <v>800</v>
      </c>
      <c r="BK4" s="272">
        <v>8800</v>
      </c>
      <c r="BL4" s="197">
        <v>5</v>
      </c>
      <c r="BM4" s="279">
        <v>1600</v>
      </c>
      <c r="BN4" s="95">
        <v>2400</v>
      </c>
      <c r="BO4" s="272">
        <v>8000</v>
      </c>
      <c r="BP4" s="197">
        <v>5</v>
      </c>
      <c r="BQ4" s="279">
        <v>800</v>
      </c>
      <c r="BR4" s="95">
        <v>1600</v>
      </c>
      <c r="BS4" s="272">
        <v>6800</v>
      </c>
      <c r="BT4" s="197">
        <v>5</v>
      </c>
      <c r="BU4" s="279">
        <v>800</v>
      </c>
      <c r="BV4" s="95">
        <v>800</v>
      </c>
      <c r="BW4" s="272">
        <v>6400</v>
      </c>
      <c r="BX4" s="197">
        <v>5</v>
      </c>
      <c r="BY4" s="279">
        <v>1600</v>
      </c>
      <c r="BZ4" s="95">
        <v>800</v>
      </c>
      <c r="CA4" s="272">
        <v>6400</v>
      </c>
      <c r="CB4" s="197">
        <v>5</v>
      </c>
      <c r="CC4" s="279"/>
      <c r="CD4" s="95">
        <v>3200</v>
      </c>
      <c r="CE4" s="272">
        <v>3200</v>
      </c>
      <c r="CF4" s="197">
        <v>2</v>
      </c>
    </row>
    <row r="5" spans="1:84" x14ac:dyDescent="0.45">
      <c r="A5" s="231"/>
      <c r="B5" s="233"/>
      <c r="C5" s="235"/>
      <c r="D5" s="27" t="s">
        <v>58</v>
      </c>
      <c r="E5" s="237"/>
      <c r="F5" s="18">
        <v>400</v>
      </c>
      <c r="G5" s="273"/>
      <c r="H5" s="198"/>
      <c r="I5" s="275"/>
      <c r="J5" s="18">
        <v>400</v>
      </c>
      <c r="K5" s="273"/>
      <c r="L5" s="198"/>
      <c r="M5" s="237"/>
      <c r="N5" s="18">
        <v>400</v>
      </c>
      <c r="O5" s="273"/>
      <c r="P5" s="198"/>
      <c r="Q5" s="237"/>
      <c r="R5" s="18">
        <v>800</v>
      </c>
      <c r="S5" s="273"/>
      <c r="T5" s="198"/>
      <c r="U5" s="284"/>
      <c r="V5" s="18">
        <v>400</v>
      </c>
      <c r="W5" s="273"/>
      <c r="X5" s="198"/>
      <c r="Y5" s="244"/>
      <c r="Z5" s="96">
        <v>400</v>
      </c>
      <c r="AA5" s="273"/>
      <c r="AB5" s="198"/>
      <c r="AC5" s="280"/>
      <c r="AD5" s="96"/>
      <c r="AE5" s="273"/>
      <c r="AF5" s="198"/>
      <c r="AG5" s="280"/>
      <c r="AH5" s="96">
        <v>800</v>
      </c>
      <c r="AI5" s="273"/>
      <c r="AJ5" s="198"/>
      <c r="AK5" s="280"/>
      <c r="AL5" s="96">
        <v>400</v>
      </c>
      <c r="AM5" s="273"/>
      <c r="AN5" s="198"/>
      <c r="AO5" s="280"/>
      <c r="AP5" s="96">
        <v>1200</v>
      </c>
      <c r="AQ5" s="273"/>
      <c r="AR5" s="198"/>
      <c r="AS5" s="280"/>
      <c r="AT5" s="96"/>
      <c r="AU5" s="273"/>
      <c r="AV5" s="198"/>
      <c r="AW5" s="280"/>
      <c r="AX5" s="96">
        <v>400</v>
      </c>
      <c r="AY5" s="273"/>
      <c r="AZ5" s="198"/>
      <c r="BA5" s="280"/>
      <c r="BB5" s="96">
        <v>400</v>
      </c>
      <c r="BC5" s="273"/>
      <c r="BD5" s="198"/>
      <c r="BE5" s="280"/>
      <c r="BF5" s="96">
        <v>800</v>
      </c>
      <c r="BG5" s="273"/>
      <c r="BH5" s="198"/>
      <c r="BI5" s="280"/>
      <c r="BJ5" s="96">
        <v>800</v>
      </c>
      <c r="BK5" s="273"/>
      <c r="BL5" s="198"/>
      <c r="BM5" s="280"/>
      <c r="BN5" s="96"/>
      <c r="BO5" s="273"/>
      <c r="BP5" s="198"/>
      <c r="BQ5" s="280"/>
      <c r="BR5" s="96">
        <v>400</v>
      </c>
      <c r="BS5" s="273"/>
      <c r="BT5" s="198"/>
      <c r="BU5" s="280"/>
      <c r="BV5" s="96">
        <v>400</v>
      </c>
      <c r="BW5" s="273"/>
      <c r="BX5" s="198"/>
      <c r="BY5" s="280"/>
      <c r="BZ5" s="96">
        <v>800</v>
      </c>
      <c r="CA5" s="273"/>
      <c r="CB5" s="198"/>
      <c r="CC5" s="280"/>
      <c r="CD5" s="96"/>
      <c r="CE5" s="273"/>
      <c r="CF5" s="198"/>
    </row>
    <row r="6" spans="1:84" x14ac:dyDescent="0.45">
      <c r="A6" s="82">
        <v>2</v>
      </c>
      <c r="B6" s="61" t="s">
        <v>63</v>
      </c>
      <c r="C6" s="71" t="s">
        <v>69</v>
      </c>
      <c r="D6" s="27"/>
      <c r="E6" s="16">
        <v>4000</v>
      </c>
      <c r="F6" s="18">
        <v>3200</v>
      </c>
      <c r="G6" s="184">
        <v>1600</v>
      </c>
      <c r="H6" s="199">
        <v>1</v>
      </c>
      <c r="I6" s="190">
        <v>4000</v>
      </c>
      <c r="J6" s="18">
        <v>5600</v>
      </c>
      <c r="K6" s="184"/>
      <c r="L6" s="199">
        <v>1</v>
      </c>
      <c r="M6" s="16">
        <v>9600</v>
      </c>
      <c r="N6" s="18">
        <v>5600</v>
      </c>
      <c r="O6" s="184">
        <v>4000</v>
      </c>
      <c r="P6" s="199">
        <v>1</v>
      </c>
      <c r="Q6" s="16">
        <v>6400</v>
      </c>
      <c r="R6" s="18">
        <v>4000</v>
      </c>
      <c r="S6" s="184">
        <v>6400</v>
      </c>
      <c r="T6" s="199">
        <v>3</v>
      </c>
      <c r="U6" s="16">
        <v>6400</v>
      </c>
      <c r="V6" s="18">
        <v>4800</v>
      </c>
      <c r="W6" s="184">
        <v>8000</v>
      </c>
      <c r="X6" s="199">
        <v>3</v>
      </c>
      <c r="Y6" s="89">
        <v>6400</v>
      </c>
      <c r="Z6" s="96">
        <v>1600</v>
      </c>
      <c r="AA6" s="184">
        <v>12800</v>
      </c>
      <c r="AB6" s="199">
        <v>5</v>
      </c>
      <c r="AC6" s="209"/>
      <c r="AD6" s="96">
        <v>4800</v>
      </c>
      <c r="AE6" s="184">
        <v>8000</v>
      </c>
      <c r="AF6" s="199">
        <v>3</v>
      </c>
      <c r="AG6" s="209"/>
      <c r="AH6" s="96">
        <v>4000</v>
      </c>
      <c r="AI6" s="184">
        <v>4000</v>
      </c>
      <c r="AJ6" s="199">
        <v>2</v>
      </c>
      <c r="AK6" s="209">
        <v>6400</v>
      </c>
      <c r="AL6" s="96">
        <v>1600</v>
      </c>
      <c r="AM6" s="184">
        <v>8800</v>
      </c>
      <c r="AN6" s="199">
        <v>5</v>
      </c>
      <c r="AO6" s="209"/>
      <c r="AP6" s="96">
        <v>1600</v>
      </c>
      <c r="AQ6" s="184">
        <v>7200</v>
      </c>
      <c r="AR6" s="199">
        <v>5</v>
      </c>
      <c r="AS6" s="209"/>
      <c r="AT6" s="96">
        <v>3200</v>
      </c>
      <c r="AU6" s="184">
        <v>4000</v>
      </c>
      <c r="AV6" s="199">
        <v>2</v>
      </c>
      <c r="AW6" s="209"/>
      <c r="AX6" s="96">
        <v>4000</v>
      </c>
      <c r="AY6" s="184"/>
      <c r="AZ6" s="199">
        <v>5</v>
      </c>
      <c r="BA6" s="209">
        <v>6400</v>
      </c>
      <c r="BB6" s="96">
        <v>3200</v>
      </c>
      <c r="BC6" s="184">
        <v>3200</v>
      </c>
      <c r="BD6" s="199">
        <v>2</v>
      </c>
      <c r="BE6" s="209">
        <v>3200</v>
      </c>
      <c r="BF6" s="96">
        <v>5600</v>
      </c>
      <c r="BG6" s="184">
        <v>800</v>
      </c>
      <c r="BH6" s="199">
        <v>1</v>
      </c>
      <c r="BI6" s="209">
        <v>6400</v>
      </c>
      <c r="BJ6" s="96">
        <v>5600</v>
      </c>
      <c r="BK6" s="184">
        <v>1600</v>
      </c>
      <c r="BL6" s="199">
        <v>1</v>
      </c>
      <c r="BM6" s="209">
        <v>6400</v>
      </c>
      <c r="BN6" s="96">
        <v>4800</v>
      </c>
      <c r="BO6" s="184">
        <v>3200</v>
      </c>
      <c r="BP6" s="199">
        <v>1</v>
      </c>
      <c r="BQ6" s="209">
        <v>5600</v>
      </c>
      <c r="BR6" s="96">
        <v>1600</v>
      </c>
      <c r="BS6" s="184">
        <v>7200</v>
      </c>
      <c r="BT6" s="199">
        <v>5</v>
      </c>
      <c r="BU6" s="209">
        <v>6400</v>
      </c>
      <c r="BV6" s="96">
        <v>6400</v>
      </c>
      <c r="BW6" s="184">
        <v>7200</v>
      </c>
      <c r="BX6" s="199">
        <v>2</v>
      </c>
      <c r="BY6" s="209">
        <v>5600</v>
      </c>
      <c r="BZ6" s="96">
        <v>8000</v>
      </c>
      <c r="CA6" s="184">
        <v>4800</v>
      </c>
      <c r="CB6" s="199">
        <v>1</v>
      </c>
      <c r="CC6" s="209"/>
      <c r="CD6" s="96"/>
      <c r="CE6" s="184">
        <v>4800</v>
      </c>
      <c r="CF6" s="199">
        <v>5</v>
      </c>
    </row>
    <row r="7" spans="1:84" ht="18" thickBot="1" x14ac:dyDescent="0.5">
      <c r="A7" s="82">
        <v>3</v>
      </c>
      <c r="B7" s="62" t="s">
        <v>63</v>
      </c>
      <c r="C7" s="72" t="s">
        <v>71</v>
      </c>
      <c r="D7" s="30"/>
      <c r="E7" s="21">
        <v>5000</v>
      </c>
      <c r="F7" s="20">
        <v>4000</v>
      </c>
      <c r="G7" s="185">
        <v>2000</v>
      </c>
      <c r="H7" s="200">
        <v>1</v>
      </c>
      <c r="I7" s="191">
        <v>3000</v>
      </c>
      <c r="J7" s="20">
        <v>5000</v>
      </c>
      <c r="K7" s="185"/>
      <c r="L7" s="200">
        <v>1</v>
      </c>
      <c r="M7" s="21">
        <v>10000</v>
      </c>
      <c r="N7" s="20">
        <v>5000</v>
      </c>
      <c r="O7" s="185">
        <v>5000</v>
      </c>
      <c r="P7" s="200">
        <v>2</v>
      </c>
      <c r="Q7" s="21">
        <v>6000</v>
      </c>
      <c r="R7" s="20">
        <v>3000</v>
      </c>
      <c r="S7" s="185">
        <v>8000</v>
      </c>
      <c r="T7" s="200">
        <v>5</v>
      </c>
      <c r="U7" s="21">
        <v>6000</v>
      </c>
      <c r="V7" s="20">
        <v>4000</v>
      </c>
      <c r="W7" s="185">
        <v>10000</v>
      </c>
      <c r="X7" s="200">
        <v>4</v>
      </c>
      <c r="Y7" s="90">
        <v>8000</v>
      </c>
      <c r="Z7" s="97">
        <v>1000</v>
      </c>
      <c r="AA7" s="185">
        <v>17000</v>
      </c>
      <c r="AB7" s="200">
        <v>5</v>
      </c>
      <c r="AC7" s="210"/>
      <c r="AD7" s="97">
        <v>2000</v>
      </c>
      <c r="AE7" s="185">
        <v>15000</v>
      </c>
      <c r="AF7" s="200">
        <v>5</v>
      </c>
      <c r="AG7" s="210"/>
      <c r="AH7" s="97">
        <v>2000</v>
      </c>
      <c r="AI7" s="185">
        <v>13000</v>
      </c>
      <c r="AJ7" s="200">
        <v>5</v>
      </c>
      <c r="AK7" s="210">
        <v>7000</v>
      </c>
      <c r="AL7" s="97">
        <v>2000</v>
      </c>
      <c r="AM7" s="185">
        <v>18000</v>
      </c>
      <c r="AN7" s="200">
        <v>5</v>
      </c>
      <c r="AO7" s="210"/>
      <c r="AP7" s="97"/>
      <c r="AQ7" s="185">
        <v>18000</v>
      </c>
      <c r="AR7" s="200">
        <v>5</v>
      </c>
      <c r="AS7" s="210"/>
      <c r="AT7" s="97">
        <v>7000</v>
      </c>
      <c r="AU7" s="185">
        <v>10000</v>
      </c>
      <c r="AV7" s="200">
        <v>2</v>
      </c>
      <c r="AW7" s="210"/>
      <c r="AX7" s="97">
        <v>1000</v>
      </c>
      <c r="AY7" s="185">
        <v>9000</v>
      </c>
      <c r="AZ7" s="200">
        <v>5</v>
      </c>
      <c r="BA7" s="210"/>
      <c r="BB7" s="97">
        <v>6000</v>
      </c>
      <c r="BC7" s="185">
        <v>3000</v>
      </c>
      <c r="BD7" s="200">
        <v>1</v>
      </c>
      <c r="BE7" s="210">
        <v>2000</v>
      </c>
      <c r="BF7" s="97">
        <v>4000</v>
      </c>
      <c r="BG7" s="185">
        <v>1000</v>
      </c>
      <c r="BH7" s="200">
        <v>5</v>
      </c>
      <c r="BI7" s="210">
        <v>5000</v>
      </c>
      <c r="BJ7" s="97">
        <v>6000</v>
      </c>
      <c r="BK7" s="185"/>
      <c r="BL7" s="200">
        <v>5</v>
      </c>
      <c r="BM7" s="210">
        <v>6000</v>
      </c>
      <c r="BN7" s="97">
        <v>3000</v>
      </c>
      <c r="BO7" s="185">
        <v>3000</v>
      </c>
      <c r="BP7" s="200">
        <v>2</v>
      </c>
      <c r="BQ7" s="210">
        <v>6000</v>
      </c>
      <c r="BR7" s="97">
        <v>4000</v>
      </c>
      <c r="BS7" s="185">
        <v>5000</v>
      </c>
      <c r="BT7" s="200">
        <v>2</v>
      </c>
      <c r="BU7" s="210">
        <v>6000</v>
      </c>
      <c r="BV7" s="97">
        <v>1000</v>
      </c>
      <c r="BW7" s="185">
        <v>10000</v>
      </c>
      <c r="BX7" s="200">
        <v>5</v>
      </c>
      <c r="BY7" s="210">
        <v>5000</v>
      </c>
      <c r="BZ7" s="97">
        <v>1000</v>
      </c>
      <c r="CA7" s="185">
        <v>14000</v>
      </c>
      <c r="CB7" s="200">
        <v>5</v>
      </c>
      <c r="CC7" s="210"/>
      <c r="CD7" s="97"/>
      <c r="CE7" s="185">
        <v>14000</v>
      </c>
      <c r="CF7" s="200">
        <v>5</v>
      </c>
    </row>
    <row r="8" spans="1:84" x14ac:dyDescent="0.45">
      <c r="A8" s="238">
        <v>5</v>
      </c>
      <c r="B8" s="239" t="s">
        <v>65</v>
      </c>
      <c r="C8" s="241" t="s">
        <v>73</v>
      </c>
      <c r="D8" s="27" t="s">
        <v>110</v>
      </c>
      <c r="E8" s="16">
        <v>3150</v>
      </c>
      <c r="F8" s="18">
        <v>900</v>
      </c>
      <c r="G8" s="184">
        <v>2925</v>
      </c>
      <c r="H8" s="199">
        <v>5</v>
      </c>
      <c r="I8" s="190">
        <v>3150</v>
      </c>
      <c r="J8" s="18">
        <v>300</v>
      </c>
      <c r="K8" s="184">
        <v>5775</v>
      </c>
      <c r="L8" s="199">
        <v>5</v>
      </c>
      <c r="M8" s="16"/>
      <c r="N8" s="18">
        <v>1950</v>
      </c>
      <c r="O8" s="184">
        <v>3825</v>
      </c>
      <c r="P8" s="199">
        <v>3</v>
      </c>
      <c r="Q8" s="16">
        <v>3150</v>
      </c>
      <c r="R8" s="18">
        <v>1050</v>
      </c>
      <c r="S8" s="184">
        <v>5925</v>
      </c>
      <c r="T8" s="199">
        <v>5</v>
      </c>
      <c r="U8" s="16"/>
      <c r="V8" s="18">
        <v>2100</v>
      </c>
      <c r="W8" s="184">
        <v>2475</v>
      </c>
      <c r="X8" s="199">
        <v>2</v>
      </c>
      <c r="Y8" s="89">
        <v>3150</v>
      </c>
      <c r="Z8" s="96">
        <v>3225</v>
      </c>
      <c r="AA8" s="184">
        <v>2700</v>
      </c>
      <c r="AB8" s="199">
        <v>1</v>
      </c>
      <c r="AC8" s="209">
        <v>3150</v>
      </c>
      <c r="AD8" s="96">
        <v>2850</v>
      </c>
      <c r="AE8" s="184">
        <v>1950</v>
      </c>
      <c r="AF8" s="199">
        <v>1</v>
      </c>
      <c r="AG8" s="209">
        <v>5650</v>
      </c>
      <c r="AH8" s="96">
        <v>2700</v>
      </c>
      <c r="AI8" s="184">
        <v>4900</v>
      </c>
      <c r="AJ8" s="199">
        <v>3</v>
      </c>
      <c r="AK8" s="209">
        <v>5012.5</v>
      </c>
      <c r="AL8" s="96">
        <v>4200</v>
      </c>
      <c r="AM8" s="184">
        <v>5712.5</v>
      </c>
      <c r="AN8" s="199">
        <v>2</v>
      </c>
      <c r="AO8" s="209">
        <v>4300</v>
      </c>
      <c r="AP8" s="96">
        <v>4050</v>
      </c>
      <c r="AQ8" s="184">
        <v>5962.5</v>
      </c>
      <c r="AR8" s="199">
        <v>2</v>
      </c>
      <c r="AS8" s="209">
        <v>2437.5</v>
      </c>
      <c r="AT8" s="96">
        <v>6450</v>
      </c>
      <c r="AU8" s="184">
        <v>4200</v>
      </c>
      <c r="AV8" s="199">
        <v>1</v>
      </c>
      <c r="AW8" s="209">
        <v>4200</v>
      </c>
      <c r="AX8" s="96">
        <v>3150</v>
      </c>
      <c r="AY8" s="184">
        <v>5250</v>
      </c>
      <c r="AZ8" s="199">
        <v>3</v>
      </c>
      <c r="BA8" s="209">
        <v>2100</v>
      </c>
      <c r="BB8" s="96">
        <v>1050</v>
      </c>
      <c r="BC8" s="184">
        <v>6300</v>
      </c>
      <c r="BD8" s="199">
        <v>5</v>
      </c>
      <c r="BE8" s="209">
        <v>1050</v>
      </c>
      <c r="BF8" s="96">
        <v>2100</v>
      </c>
      <c r="BG8" s="184">
        <v>5250</v>
      </c>
      <c r="BH8" s="199">
        <v>5</v>
      </c>
      <c r="BI8" s="209">
        <v>4200</v>
      </c>
      <c r="BJ8" s="96">
        <v>4200</v>
      </c>
      <c r="BK8" s="184">
        <v>4200</v>
      </c>
      <c r="BL8" s="199">
        <v>1</v>
      </c>
      <c r="BM8" s="209">
        <v>4200</v>
      </c>
      <c r="BN8" s="96">
        <v>1050</v>
      </c>
      <c r="BO8" s="184">
        <v>6312.5</v>
      </c>
      <c r="BP8" s="199">
        <v>5</v>
      </c>
      <c r="BQ8" s="209">
        <v>2100</v>
      </c>
      <c r="BR8" s="96">
        <v>3475</v>
      </c>
      <c r="BS8" s="184">
        <v>5262.5</v>
      </c>
      <c r="BT8" s="199">
        <v>3</v>
      </c>
      <c r="BU8" s="209">
        <v>4200</v>
      </c>
      <c r="BV8" s="96">
        <v>4200</v>
      </c>
      <c r="BW8" s="184">
        <v>5262.5</v>
      </c>
      <c r="BX8" s="199">
        <v>2</v>
      </c>
      <c r="BY8" s="209">
        <v>8400</v>
      </c>
      <c r="BZ8" s="96">
        <v>7350</v>
      </c>
      <c r="CA8" s="184">
        <v>6312.5</v>
      </c>
      <c r="CB8" s="199">
        <v>1</v>
      </c>
      <c r="CC8" s="209">
        <v>1050</v>
      </c>
      <c r="CD8" s="96">
        <v>2100</v>
      </c>
      <c r="CE8" s="184">
        <v>5262.5</v>
      </c>
      <c r="CF8" s="199">
        <v>4</v>
      </c>
    </row>
    <row r="9" spans="1:84" x14ac:dyDescent="0.45">
      <c r="A9" s="231"/>
      <c r="B9" s="240"/>
      <c r="C9" s="242"/>
      <c r="D9" s="27" t="s">
        <v>111</v>
      </c>
      <c r="E9" s="16">
        <v>5250</v>
      </c>
      <c r="F9" s="18">
        <v>4375</v>
      </c>
      <c r="G9" s="184">
        <v>28500</v>
      </c>
      <c r="H9" s="199">
        <v>5</v>
      </c>
      <c r="I9" s="190">
        <v>7250</v>
      </c>
      <c r="J9" s="18">
        <v>3150</v>
      </c>
      <c r="K9" s="184">
        <v>32600</v>
      </c>
      <c r="L9" s="199">
        <v>5</v>
      </c>
      <c r="M9" s="16">
        <v>1050</v>
      </c>
      <c r="N9" s="18">
        <v>3675</v>
      </c>
      <c r="O9" s="184">
        <v>28175</v>
      </c>
      <c r="P9" s="199">
        <v>5</v>
      </c>
      <c r="Q9" s="16">
        <v>1050</v>
      </c>
      <c r="R9" s="18">
        <v>3450</v>
      </c>
      <c r="S9" s="184">
        <v>25650</v>
      </c>
      <c r="T9" s="199">
        <v>5</v>
      </c>
      <c r="U9" s="16">
        <v>8400</v>
      </c>
      <c r="V9" s="18">
        <v>7587.5</v>
      </c>
      <c r="W9" s="184">
        <v>27812.5</v>
      </c>
      <c r="X9" s="199">
        <v>5</v>
      </c>
      <c r="Y9" s="89">
        <v>8400</v>
      </c>
      <c r="Z9" s="96">
        <v>9025</v>
      </c>
      <c r="AA9" s="184">
        <v>26137.5</v>
      </c>
      <c r="AB9" s="199">
        <v>5</v>
      </c>
      <c r="AC9" s="209">
        <v>10500</v>
      </c>
      <c r="AD9" s="96">
        <v>6225</v>
      </c>
      <c r="AE9" s="184">
        <v>31462.5</v>
      </c>
      <c r="AF9" s="199">
        <v>5</v>
      </c>
      <c r="AG9" s="209">
        <v>15750</v>
      </c>
      <c r="AH9" s="96">
        <v>4487.5</v>
      </c>
      <c r="AI9" s="184">
        <v>40425</v>
      </c>
      <c r="AJ9" s="216">
        <v>5</v>
      </c>
      <c r="AK9" s="209"/>
      <c r="AL9" s="96">
        <v>12150</v>
      </c>
      <c r="AM9" s="184">
        <v>27912.5</v>
      </c>
      <c r="AN9" s="199">
        <v>4</v>
      </c>
      <c r="AO9" s="209">
        <v>13325</v>
      </c>
      <c r="AP9" s="96">
        <v>9512.5</v>
      </c>
      <c r="AQ9" s="184">
        <v>31725</v>
      </c>
      <c r="AR9" s="199">
        <v>5</v>
      </c>
      <c r="AS9" s="209">
        <v>6300</v>
      </c>
      <c r="AT9" s="96">
        <v>10175</v>
      </c>
      <c r="AU9" s="184">
        <v>25600</v>
      </c>
      <c r="AV9" s="199">
        <v>5</v>
      </c>
      <c r="AW9" s="209">
        <v>11550</v>
      </c>
      <c r="AX9" s="96">
        <v>6837.5</v>
      </c>
      <c r="AY9" s="184">
        <v>28825</v>
      </c>
      <c r="AZ9" s="199">
        <v>5</v>
      </c>
      <c r="BA9" s="209">
        <v>6300</v>
      </c>
      <c r="BB9" s="96">
        <v>1850</v>
      </c>
      <c r="BC9" s="184">
        <v>33275</v>
      </c>
      <c r="BD9" s="199">
        <v>5</v>
      </c>
      <c r="BE9" s="209">
        <v>6300</v>
      </c>
      <c r="BF9" s="96">
        <v>6150</v>
      </c>
      <c r="BG9" s="184">
        <v>33112.5</v>
      </c>
      <c r="BH9" s="199">
        <v>5</v>
      </c>
      <c r="BI9" s="209">
        <v>4200</v>
      </c>
      <c r="BJ9" s="96">
        <v>6750</v>
      </c>
      <c r="BK9" s="184">
        <v>27287.5</v>
      </c>
      <c r="BL9" s="199">
        <v>5</v>
      </c>
      <c r="BM9" s="209">
        <v>3150</v>
      </c>
      <c r="BN9" s="96">
        <v>3862.5</v>
      </c>
      <c r="BO9" s="184">
        <v>27375</v>
      </c>
      <c r="BP9" s="199">
        <v>5</v>
      </c>
      <c r="BQ9" s="209">
        <v>6300</v>
      </c>
      <c r="BR9" s="96">
        <v>3150</v>
      </c>
      <c r="BS9" s="184">
        <v>29887.5</v>
      </c>
      <c r="BT9" s="199">
        <v>5</v>
      </c>
      <c r="BU9" s="209">
        <v>4200</v>
      </c>
      <c r="BV9" s="96">
        <v>3400</v>
      </c>
      <c r="BW9" s="184">
        <v>29637.5</v>
      </c>
      <c r="BX9" s="199">
        <v>5</v>
      </c>
      <c r="BY9" s="209">
        <v>2100</v>
      </c>
      <c r="BZ9" s="96">
        <v>12062.5</v>
      </c>
      <c r="CA9" s="184">
        <v>19675</v>
      </c>
      <c r="CB9" s="199">
        <v>3</v>
      </c>
      <c r="CC9" s="209">
        <v>12600</v>
      </c>
      <c r="CD9" s="96">
        <v>11450</v>
      </c>
      <c r="CE9" s="184">
        <v>20825</v>
      </c>
      <c r="CF9" s="199">
        <v>3</v>
      </c>
    </row>
    <row r="10" spans="1:84" x14ac:dyDescent="0.45">
      <c r="A10" s="238">
        <v>6</v>
      </c>
      <c r="B10" s="245" t="s">
        <v>65</v>
      </c>
      <c r="C10" s="246" t="s">
        <v>74</v>
      </c>
      <c r="D10" s="27" t="s">
        <v>57</v>
      </c>
      <c r="E10" s="247">
        <v>612.5</v>
      </c>
      <c r="F10" s="18"/>
      <c r="G10" s="281">
        <v>1037.5</v>
      </c>
      <c r="H10" s="201">
        <v>5</v>
      </c>
      <c r="I10" s="282">
        <v>337.5</v>
      </c>
      <c r="J10" s="18"/>
      <c r="K10" s="281">
        <v>625</v>
      </c>
      <c r="L10" s="201">
        <v>1</v>
      </c>
      <c r="M10" s="247"/>
      <c r="N10" s="18"/>
      <c r="O10" s="281">
        <v>625</v>
      </c>
      <c r="P10" s="201">
        <v>5</v>
      </c>
      <c r="Q10" s="247"/>
      <c r="R10" s="18"/>
      <c r="S10" s="281">
        <v>125</v>
      </c>
      <c r="T10" s="201">
        <v>1</v>
      </c>
      <c r="U10" s="286">
        <v>1050</v>
      </c>
      <c r="V10" s="18"/>
      <c r="W10" s="281">
        <v>1175</v>
      </c>
      <c r="X10" s="201">
        <v>5</v>
      </c>
      <c r="Y10" s="249"/>
      <c r="Z10" s="96"/>
      <c r="AA10" s="281">
        <v>925</v>
      </c>
      <c r="AB10" s="201">
        <v>5</v>
      </c>
      <c r="AC10" s="285"/>
      <c r="AD10" s="96"/>
      <c r="AE10" s="281">
        <v>925</v>
      </c>
      <c r="AF10" s="201">
        <v>5</v>
      </c>
      <c r="AG10" s="285"/>
      <c r="AH10" s="96">
        <v>250</v>
      </c>
      <c r="AI10" s="281">
        <v>675</v>
      </c>
      <c r="AJ10" s="201">
        <v>5</v>
      </c>
      <c r="AK10" s="285"/>
      <c r="AL10" s="96"/>
      <c r="AM10" s="281"/>
      <c r="AN10" s="201">
        <v>1</v>
      </c>
      <c r="AO10" s="285"/>
      <c r="AP10" s="96"/>
      <c r="AQ10" s="281"/>
      <c r="AR10" s="201"/>
      <c r="AS10" s="285">
        <v>1050</v>
      </c>
      <c r="AT10" s="96"/>
      <c r="AU10" s="281">
        <v>725</v>
      </c>
      <c r="AV10" s="201">
        <v>4</v>
      </c>
      <c r="AW10" s="285"/>
      <c r="AX10" s="96"/>
      <c r="AY10" s="281">
        <v>725</v>
      </c>
      <c r="AZ10" s="201">
        <v>5</v>
      </c>
      <c r="BA10" s="285"/>
      <c r="BB10" s="96"/>
      <c r="BC10" s="281">
        <v>725</v>
      </c>
      <c r="BD10" s="201">
        <v>5</v>
      </c>
      <c r="BE10" s="285"/>
      <c r="BF10" s="96"/>
      <c r="BG10" s="281">
        <v>475</v>
      </c>
      <c r="BH10" s="201">
        <v>3</v>
      </c>
      <c r="BI10" s="285">
        <v>1050</v>
      </c>
      <c r="BJ10" s="96"/>
      <c r="BK10" s="281">
        <v>1275</v>
      </c>
      <c r="BL10" s="201">
        <v>5</v>
      </c>
      <c r="BM10" s="285"/>
      <c r="BN10" s="96"/>
      <c r="BO10" s="281">
        <v>1275</v>
      </c>
      <c r="BP10" s="201">
        <v>5</v>
      </c>
      <c r="BQ10" s="285"/>
      <c r="BR10" s="96"/>
      <c r="BS10" s="281">
        <v>1025</v>
      </c>
      <c r="BT10" s="201">
        <v>5</v>
      </c>
      <c r="BU10" s="285"/>
      <c r="BV10" s="96"/>
      <c r="BW10" s="281">
        <v>1025</v>
      </c>
      <c r="BX10" s="201">
        <v>5</v>
      </c>
      <c r="BY10" s="285"/>
      <c r="BZ10" s="96"/>
      <c r="CA10" s="281">
        <v>1025</v>
      </c>
      <c r="CB10" s="201">
        <v>5</v>
      </c>
      <c r="CC10" s="285"/>
      <c r="CD10" s="96"/>
      <c r="CE10" s="281">
        <v>525</v>
      </c>
      <c r="CF10" s="201">
        <v>2</v>
      </c>
    </row>
    <row r="11" spans="1:84" x14ac:dyDescent="0.45">
      <c r="A11" s="231"/>
      <c r="B11" s="233"/>
      <c r="C11" s="235"/>
      <c r="D11" s="27" t="s">
        <v>58</v>
      </c>
      <c r="E11" s="237"/>
      <c r="F11" s="18">
        <v>250</v>
      </c>
      <c r="G11" s="273"/>
      <c r="H11" s="198"/>
      <c r="I11" s="275"/>
      <c r="J11" s="18">
        <v>750</v>
      </c>
      <c r="K11" s="273"/>
      <c r="L11" s="198"/>
      <c r="M11" s="237"/>
      <c r="N11" s="18"/>
      <c r="O11" s="273"/>
      <c r="P11" s="198"/>
      <c r="Q11" s="237"/>
      <c r="R11" s="18">
        <v>500</v>
      </c>
      <c r="S11" s="273"/>
      <c r="T11" s="198"/>
      <c r="U11" s="284"/>
      <c r="V11" s="18"/>
      <c r="W11" s="273"/>
      <c r="X11" s="198"/>
      <c r="Y11" s="244"/>
      <c r="Z11" s="96">
        <v>250</v>
      </c>
      <c r="AA11" s="273"/>
      <c r="AB11" s="198"/>
      <c r="AC11" s="280"/>
      <c r="AD11" s="96"/>
      <c r="AE11" s="273"/>
      <c r="AF11" s="198"/>
      <c r="AG11" s="280"/>
      <c r="AH11" s="96"/>
      <c r="AI11" s="273"/>
      <c r="AJ11" s="198"/>
      <c r="AK11" s="280"/>
      <c r="AL11" s="96">
        <v>675</v>
      </c>
      <c r="AM11" s="273"/>
      <c r="AN11" s="198"/>
      <c r="AO11" s="280"/>
      <c r="AP11" s="96"/>
      <c r="AQ11" s="273"/>
      <c r="AR11" s="198"/>
      <c r="AS11" s="280"/>
      <c r="AT11" s="96">
        <v>325</v>
      </c>
      <c r="AU11" s="273"/>
      <c r="AV11" s="198"/>
      <c r="AW11" s="280"/>
      <c r="AX11" s="96"/>
      <c r="AY11" s="273"/>
      <c r="AZ11" s="198"/>
      <c r="BA11" s="280"/>
      <c r="BB11" s="96"/>
      <c r="BC11" s="273"/>
      <c r="BD11" s="198"/>
      <c r="BE11" s="280"/>
      <c r="BF11" s="96">
        <v>250</v>
      </c>
      <c r="BG11" s="273"/>
      <c r="BH11" s="198"/>
      <c r="BI11" s="280"/>
      <c r="BJ11" s="96">
        <v>250</v>
      </c>
      <c r="BK11" s="273"/>
      <c r="BL11" s="198"/>
      <c r="BM11" s="280"/>
      <c r="BN11" s="96"/>
      <c r="BO11" s="273"/>
      <c r="BP11" s="198"/>
      <c r="BQ11" s="280"/>
      <c r="BR11" s="96">
        <v>250</v>
      </c>
      <c r="BS11" s="273"/>
      <c r="BT11" s="198"/>
      <c r="BU11" s="280"/>
      <c r="BV11" s="96"/>
      <c r="BW11" s="273"/>
      <c r="BX11" s="198"/>
      <c r="BY11" s="280"/>
      <c r="BZ11" s="96"/>
      <c r="CA11" s="273"/>
      <c r="CB11" s="198"/>
      <c r="CC11" s="280"/>
      <c r="CD11" s="96">
        <v>500</v>
      </c>
      <c r="CE11" s="273"/>
      <c r="CF11" s="198"/>
    </row>
    <row r="12" spans="1:84" x14ac:dyDescent="0.45">
      <c r="A12" s="82">
        <v>8</v>
      </c>
      <c r="B12" s="61" t="s">
        <v>65</v>
      </c>
      <c r="C12" s="71" t="s">
        <v>76</v>
      </c>
      <c r="D12" s="27"/>
      <c r="E12" s="16">
        <v>1000</v>
      </c>
      <c r="F12" s="18"/>
      <c r="G12" s="184">
        <v>3500</v>
      </c>
      <c r="H12" s="199">
        <v>5</v>
      </c>
      <c r="I12" s="190">
        <v>3500</v>
      </c>
      <c r="J12" s="18">
        <v>3000</v>
      </c>
      <c r="K12" s="184">
        <v>3500</v>
      </c>
      <c r="L12" s="199">
        <v>2</v>
      </c>
      <c r="M12" s="16">
        <v>2500</v>
      </c>
      <c r="N12" s="18">
        <v>1500</v>
      </c>
      <c r="O12" s="184">
        <v>4500</v>
      </c>
      <c r="P12" s="199">
        <v>5</v>
      </c>
      <c r="Q12" s="16">
        <v>2000</v>
      </c>
      <c r="R12" s="18">
        <v>2500</v>
      </c>
      <c r="S12" s="184">
        <v>4000</v>
      </c>
      <c r="T12" s="199">
        <v>3</v>
      </c>
      <c r="U12" s="16">
        <v>1500</v>
      </c>
      <c r="V12" s="18">
        <v>1500</v>
      </c>
      <c r="W12" s="184">
        <v>4000</v>
      </c>
      <c r="X12" s="199">
        <v>5</v>
      </c>
      <c r="Y12" s="89">
        <v>3500</v>
      </c>
      <c r="Z12" s="96">
        <v>1500</v>
      </c>
      <c r="AA12" s="184">
        <v>5000</v>
      </c>
      <c r="AB12" s="199">
        <v>5</v>
      </c>
      <c r="AC12" s="209">
        <v>4000</v>
      </c>
      <c r="AD12" s="96">
        <v>1000</v>
      </c>
      <c r="AE12" s="184">
        <v>8000</v>
      </c>
      <c r="AF12" s="199">
        <v>5</v>
      </c>
      <c r="AG12" s="209"/>
      <c r="AH12" s="96">
        <v>2000</v>
      </c>
      <c r="AI12" s="184">
        <v>6000</v>
      </c>
      <c r="AJ12" s="199">
        <v>5</v>
      </c>
      <c r="AK12" s="209">
        <v>2000</v>
      </c>
      <c r="AL12" s="96">
        <v>2000</v>
      </c>
      <c r="AM12" s="184">
        <v>6000</v>
      </c>
      <c r="AN12" s="199">
        <v>5</v>
      </c>
      <c r="AO12" s="209">
        <v>1000</v>
      </c>
      <c r="AP12" s="96">
        <v>2000</v>
      </c>
      <c r="AQ12" s="184">
        <v>5000</v>
      </c>
      <c r="AR12" s="199">
        <v>5</v>
      </c>
      <c r="AS12" s="209"/>
      <c r="AT12" s="96">
        <v>1000</v>
      </c>
      <c r="AU12" s="184">
        <v>4000</v>
      </c>
      <c r="AV12" s="199">
        <v>5</v>
      </c>
      <c r="AW12" s="209"/>
      <c r="AX12" s="96">
        <v>3000</v>
      </c>
      <c r="AY12" s="184">
        <v>500</v>
      </c>
      <c r="AZ12" s="199">
        <v>1</v>
      </c>
      <c r="BA12" s="209">
        <v>2000</v>
      </c>
      <c r="BB12" s="96">
        <v>1000</v>
      </c>
      <c r="BC12" s="184">
        <v>1500</v>
      </c>
      <c r="BD12" s="199">
        <v>3</v>
      </c>
      <c r="BE12" s="209">
        <v>4000</v>
      </c>
      <c r="BF12" s="96">
        <v>2000</v>
      </c>
      <c r="BG12" s="184">
        <v>3000</v>
      </c>
      <c r="BH12" s="199">
        <v>3</v>
      </c>
      <c r="BI12" s="209">
        <v>4000</v>
      </c>
      <c r="BJ12" s="96">
        <v>2000</v>
      </c>
      <c r="BK12" s="184">
        <v>4500</v>
      </c>
      <c r="BL12" s="199">
        <v>4</v>
      </c>
      <c r="BM12" s="209">
        <v>2000</v>
      </c>
      <c r="BN12" s="96">
        <v>2500</v>
      </c>
      <c r="BO12" s="184">
        <v>4000</v>
      </c>
      <c r="BP12" s="199">
        <v>3</v>
      </c>
      <c r="BQ12" s="209">
        <v>3000</v>
      </c>
      <c r="BR12" s="96">
        <v>500</v>
      </c>
      <c r="BS12" s="184">
        <v>5500</v>
      </c>
      <c r="BT12" s="199">
        <v>5</v>
      </c>
      <c r="BU12" s="209">
        <v>1000</v>
      </c>
      <c r="BV12" s="96">
        <v>1500</v>
      </c>
      <c r="BW12" s="184">
        <v>5000</v>
      </c>
      <c r="BX12" s="199">
        <v>5</v>
      </c>
      <c r="BY12" s="209"/>
      <c r="BZ12" s="96">
        <v>2500</v>
      </c>
      <c r="CA12" s="184">
        <v>2500</v>
      </c>
      <c r="CB12" s="199">
        <v>2</v>
      </c>
      <c r="CC12" s="209">
        <v>1500</v>
      </c>
      <c r="CD12" s="96">
        <v>2000</v>
      </c>
      <c r="CE12" s="184">
        <v>2000</v>
      </c>
      <c r="CF12" s="199">
        <v>2</v>
      </c>
    </row>
    <row r="13" spans="1:84" x14ac:dyDescent="0.45">
      <c r="A13" s="238">
        <v>9</v>
      </c>
      <c r="B13" s="245" t="s">
        <v>65</v>
      </c>
      <c r="C13" s="246" t="s">
        <v>80</v>
      </c>
      <c r="D13" s="27" t="s">
        <v>57</v>
      </c>
      <c r="E13" s="254"/>
      <c r="F13" s="250"/>
      <c r="G13" s="287"/>
      <c r="H13" s="202"/>
      <c r="I13" s="289"/>
      <c r="J13" s="250"/>
      <c r="K13" s="287"/>
      <c r="L13" s="202"/>
      <c r="M13" s="247">
        <v>56700</v>
      </c>
      <c r="N13" s="18">
        <v>3240</v>
      </c>
      <c r="O13" s="281">
        <v>53460</v>
      </c>
      <c r="P13" s="201">
        <v>5</v>
      </c>
      <c r="Q13" s="247">
        <v>56700</v>
      </c>
      <c r="R13" s="18">
        <v>52950</v>
      </c>
      <c r="S13" s="281">
        <v>46170</v>
      </c>
      <c r="T13" s="201">
        <v>1</v>
      </c>
      <c r="U13" s="286">
        <v>56700</v>
      </c>
      <c r="V13" s="18">
        <v>57510</v>
      </c>
      <c r="W13" s="281">
        <v>37350</v>
      </c>
      <c r="X13" s="201">
        <v>1</v>
      </c>
      <c r="Y13" s="249">
        <v>56700</v>
      </c>
      <c r="Z13" s="96">
        <v>56760</v>
      </c>
      <c r="AA13" s="281">
        <v>34320</v>
      </c>
      <c r="AB13" s="201">
        <v>1</v>
      </c>
      <c r="AC13" s="285">
        <v>56700</v>
      </c>
      <c r="AD13" s="96">
        <v>48990</v>
      </c>
      <c r="AE13" s="281">
        <v>36540</v>
      </c>
      <c r="AF13" s="201">
        <v>1</v>
      </c>
      <c r="AG13" s="285">
        <v>56700</v>
      </c>
      <c r="AH13" s="96">
        <v>46170</v>
      </c>
      <c r="AI13" s="281">
        <v>40320</v>
      </c>
      <c r="AJ13" s="201">
        <v>1</v>
      </c>
      <c r="AK13" s="285">
        <v>56700</v>
      </c>
      <c r="AL13" s="96">
        <v>49050</v>
      </c>
      <c r="AM13" s="281">
        <v>35370</v>
      </c>
      <c r="AN13" s="201">
        <v>1</v>
      </c>
      <c r="AO13" s="285">
        <v>56700</v>
      </c>
      <c r="AP13" s="96">
        <v>63870</v>
      </c>
      <c r="AQ13" s="281">
        <v>16110</v>
      </c>
      <c r="AR13" s="201">
        <v>1</v>
      </c>
      <c r="AS13" s="285">
        <v>56700</v>
      </c>
      <c r="AT13" s="96">
        <v>39780</v>
      </c>
      <c r="AU13" s="281">
        <v>24570</v>
      </c>
      <c r="AV13" s="201">
        <v>1</v>
      </c>
      <c r="AW13" s="285">
        <v>56700</v>
      </c>
      <c r="AX13" s="96">
        <v>50940</v>
      </c>
      <c r="AY13" s="281">
        <v>21060</v>
      </c>
      <c r="AZ13" s="201">
        <v>1</v>
      </c>
      <c r="BA13" s="285">
        <v>80640</v>
      </c>
      <c r="BB13" s="96">
        <v>45000</v>
      </c>
      <c r="BC13" s="281">
        <v>47880</v>
      </c>
      <c r="BD13" s="201">
        <v>1</v>
      </c>
      <c r="BE13" s="285">
        <v>60480</v>
      </c>
      <c r="BF13" s="96">
        <v>49950</v>
      </c>
      <c r="BG13" s="281">
        <v>48690</v>
      </c>
      <c r="BH13" s="201">
        <v>1</v>
      </c>
      <c r="BI13" s="285">
        <v>60480</v>
      </c>
      <c r="BJ13" s="96">
        <v>72630</v>
      </c>
      <c r="BK13" s="281">
        <v>24300</v>
      </c>
      <c r="BL13" s="201">
        <v>1</v>
      </c>
      <c r="BM13" s="285">
        <v>60480</v>
      </c>
      <c r="BN13" s="96">
        <v>60120</v>
      </c>
      <c r="BO13" s="281">
        <v>15390</v>
      </c>
      <c r="BP13" s="201">
        <v>1</v>
      </c>
      <c r="BQ13" s="285">
        <v>100800</v>
      </c>
      <c r="BR13" s="96">
        <v>57600</v>
      </c>
      <c r="BS13" s="281">
        <v>49320</v>
      </c>
      <c r="BT13" s="201">
        <v>1</v>
      </c>
      <c r="BU13" s="285">
        <v>40320</v>
      </c>
      <c r="BV13" s="96">
        <v>53460</v>
      </c>
      <c r="BW13" s="281">
        <v>25200</v>
      </c>
      <c r="BX13" s="201">
        <v>1</v>
      </c>
      <c r="BY13" s="285">
        <v>100800</v>
      </c>
      <c r="BZ13" s="96">
        <v>57510</v>
      </c>
      <c r="CA13" s="281">
        <v>61740</v>
      </c>
      <c r="CB13" s="201">
        <v>1</v>
      </c>
      <c r="CC13" s="285">
        <v>20160</v>
      </c>
      <c r="CD13" s="96">
        <v>46170</v>
      </c>
      <c r="CE13" s="281">
        <v>22680</v>
      </c>
      <c r="CF13" s="201">
        <v>1</v>
      </c>
    </row>
    <row r="14" spans="1:84" x14ac:dyDescent="0.45">
      <c r="A14" s="231"/>
      <c r="B14" s="233"/>
      <c r="C14" s="235"/>
      <c r="D14" s="27" t="s">
        <v>58</v>
      </c>
      <c r="E14" s="255"/>
      <c r="F14" s="251"/>
      <c r="G14" s="288"/>
      <c r="H14" s="203"/>
      <c r="I14" s="290"/>
      <c r="J14" s="251"/>
      <c r="K14" s="288"/>
      <c r="L14" s="203"/>
      <c r="M14" s="237"/>
      <c r="N14" s="18"/>
      <c r="O14" s="273"/>
      <c r="P14" s="198"/>
      <c r="Q14" s="237"/>
      <c r="R14" s="18">
        <v>9720</v>
      </c>
      <c r="S14" s="273"/>
      <c r="T14" s="198"/>
      <c r="U14" s="284"/>
      <c r="V14" s="18">
        <v>8010</v>
      </c>
      <c r="W14" s="273"/>
      <c r="X14" s="198"/>
      <c r="Y14" s="244"/>
      <c r="Z14" s="96">
        <v>5490</v>
      </c>
      <c r="AA14" s="273"/>
      <c r="AB14" s="198"/>
      <c r="AC14" s="280"/>
      <c r="AD14" s="96">
        <v>5490</v>
      </c>
      <c r="AE14" s="273"/>
      <c r="AF14" s="198"/>
      <c r="AG14" s="280"/>
      <c r="AH14" s="96">
        <v>8010</v>
      </c>
      <c r="AI14" s="273"/>
      <c r="AJ14" s="198"/>
      <c r="AK14" s="280"/>
      <c r="AL14" s="96">
        <v>8460</v>
      </c>
      <c r="AM14" s="273"/>
      <c r="AN14" s="198"/>
      <c r="AO14" s="280"/>
      <c r="AP14" s="96">
        <v>12090</v>
      </c>
      <c r="AQ14" s="273"/>
      <c r="AR14" s="198"/>
      <c r="AS14" s="280"/>
      <c r="AT14" s="96">
        <v>8460</v>
      </c>
      <c r="AU14" s="273"/>
      <c r="AV14" s="198"/>
      <c r="AW14" s="280"/>
      <c r="AX14" s="96">
        <v>9270</v>
      </c>
      <c r="AY14" s="273"/>
      <c r="AZ14" s="198"/>
      <c r="BA14" s="280"/>
      <c r="BB14" s="96">
        <v>8820</v>
      </c>
      <c r="BC14" s="273"/>
      <c r="BD14" s="198"/>
      <c r="BE14" s="280"/>
      <c r="BF14" s="96">
        <v>9720</v>
      </c>
      <c r="BG14" s="273"/>
      <c r="BH14" s="198"/>
      <c r="BI14" s="280"/>
      <c r="BJ14" s="96">
        <v>12240</v>
      </c>
      <c r="BK14" s="273"/>
      <c r="BL14" s="198"/>
      <c r="BM14" s="280"/>
      <c r="BN14" s="96">
        <v>9270</v>
      </c>
      <c r="BO14" s="273"/>
      <c r="BP14" s="198"/>
      <c r="BQ14" s="280"/>
      <c r="BR14" s="96">
        <v>8010</v>
      </c>
      <c r="BS14" s="273"/>
      <c r="BT14" s="198"/>
      <c r="BU14" s="280"/>
      <c r="BV14" s="96">
        <v>10980</v>
      </c>
      <c r="BW14" s="273"/>
      <c r="BX14" s="198"/>
      <c r="BY14" s="280"/>
      <c r="BZ14" s="96">
        <v>8010</v>
      </c>
      <c r="CA14" s="273"/>
      <c r="CB14" s="198"/>
      <c r="CC14" s="280"/>
      <c r="CD14" s="96">
        <v>10530</v>
      </c>
      <c r="CE14" s="273"/>
      <c r="CF14" s="198"/>
    </row>
    <row r="15" spans="1:84" x14ac:dyDescent="0.45">
      <c r="A15" s="82">
        <v>10</v>
      </c>
      <c r="B15" s="61" t="s">
        <v>65</v>
      </c>
      <c r="C15" s="71" t="s">
        <v>81</v>
      </c>
      <c r="D15" s="27"/>
      <c r="E15" s="16"/>
      <c r="F15" s="18">
        <v>180</v>
      </c>
      <c r="G15" s="184">
        <v>1800</v>
      </c>
      <c r="H15" s="199">
        <v>5</v>
      </c>
      <c r="I15" s="190"/>
      <c r="J15" s="18">
        <v>540</v>
      </c>
      <c r="K15" s="184">
        <v>1250</v>
      </c>
      <c r="L15" s="199">
        <v>4</v>
      </c>
      <c r="M15" s="16"/>
      <c r="N15" s="18">
        <v>180</v>
      </c>
      <c r="O15" s="184">
        <v>1080</v>
      </c>
      <c r="P15" s="199">
        <v>5</v>
      </c>
      <c r="Q15" s="16"/>
      <c r="R15" s="18">
        <v>180</v>
      </c>
      <c r="S15" s="184">
        <v>900</v>
      </c>
      <c r="T15" s="199">
        <v>5</v>
      </c>
      <c r="U15" s="16"/>
      <c r="V15" s="18">
        <v>360</v>
      </c>
      <c r="W15" s="184">
        <v>540</v>
      </c>
      <c r="X15" s="199">
        <v>3</v>
      </c>
      <c r="Y15" s="89">
        <v>1260</v>
      </c>
      <c r="Z15" s="96">
        <v>360</v>
      </c>
      <c r="AA15" s="184">
        <v>1440</v>
      </c>
      <c r="AB15" s="199">
        <v>5</v>
      </c>
      <c r="AC15" s="209"/>
      <c r="AD15" s="96">
        <v>180</v>
      </c>
      <c r="AE15" s="184">
        <v>1260</v>
      </c>
      <c r="AF15" s="199">
        <v>5</v>
      </c>
      <c r="AG15" s="209"/>
      <c r="AH15" s="96"/>
      <c r="AI15" s="184">
        <v>1245</v>
      </c>
      <c r="AJ15" s="199">
        <v>5</v>
      </c>
      <c r="AK15" s="209"/>
      <c r="AL15" s="96">
        <v>360</v>
      </c>
      <c r="AM15" s="184">
        <v>885</v>
      </c>
      <c r="AN15" s="199">
        <v>5</v>
      </c>
      <c r="AO15" s="209"/>
      <c r="AP15" s="96"/>
      <c r="AQ15" s="184">
        <v>885</v>
      </c>
      <c r="AR15" s="199">
        <v>1</v>
      </c>
      <c r="AS15" s="209"/>
      <c r="AT15" s="96">
        <v>180</v>
      </c>
      <c r="AU15" s="184">
        <v>705</v>
      </c>
      <c r="AV15" s="199">
        <v>5</v>
      </c>
      <c r="AW15" s="209"/>
      <c r="AX15" s="96"/>
      <c r="AY15" s="184">
        <v>705</v>
      </c>
      <c r="AZ15" s="199">
        <v>5</v>
      </c>
      <c r="BA15" s="209"/>
      <c r="BB15" s="96">
        <v>180</v>
      </c>
      <c r="BC15" s="184">
        <v>525</v>
      </c>
      <c r="BD15" s="199">
        <v>5</v>
      </c>
      <c r="BE15" s="209"/>
      <c r="BF15" s="96">
        <v>180</v>
      </c>
      <c r="BG15" s="184">
        <v>345</v>
      </c>
      <c r="BH15" s="199">
        <v>3</v>
      </c>
      <c r="BI15" s="209">
        <v>1260</v>
      </c>
      <c r="BJ15" s="96"/>
      <c r="BK15" s="184">
        <v>1605</v>
      </c>
      <c r="BL15" s="199">
        <v>5</v>
      </c>
      <c r="BM15" s="209"/>
      <c r="BN15" s="96"/>
      <c r="BO15" s="184">
        <v>1605</v>
      </c>
      <c r="BP15" s="199">
        <v>5</v>
      </c>
      <c r="BQ15" s="209"/>
      <c r="BR15" s="96"/>
      <c r="BS15" s="184">
        <v>1605</v>
      </c>
      <c r="BT15" s="199">
        <v>5</v>
      </c>
      <c r="BU15" s="209"/>
      <c r="BV15" s="96"/>
      <c r="BW15" s="184">
        <v>1605</v>
      </c>
      <c r="BX15" s="199">
        <v>5</v>
      </c>
      <c r="BY15" s="209"/>
      <c r="BZ15" s="96">
        <v>345</v>
      </c>
      <c r="CA15" s="184">
        <v>1260</v>
      </c>
      <c r="CB15" s="199">
        <v>5</v>
      </c>
      <c r="CC15" s="209"/>
      <c r="CD15" s="96"/>
      <c r="CE15" s="184">
        <v>1260</v>
      </c>
      <c r="CF15" s="199">
        <v>5</v>
      </c>
    </row>
    <row r="16" spans="1:84" x14ac:dyDescent="0.45">
      <c r="A16" s="82">
        <v>11</v>
      </c>
      <c r="B16" s="61" t="s">
        <v>65</v>
      </c>
      <c r="C16" s="71" t="s">
        <v>82</v>
      </c>
      <c r="D16" s="27"/>
      <c r="E16" s="16">
        <v>6300</v>
      </c>
      <c r="F16" s="18">
        <v>4650</v>
      </c>
      <c r="G16" s="184">
        <v>4800</v>
      </c>
      <c r="H16" s="199">
        <v>2</v>
      </c>
      <c r="I16" s="190">
        <v>5250</v>
      </c>
      <c r="J16" s="18">
        <v>5850</v>
      </c>
      <c r="K16" s="184">
        <v>4200</v>
      </c>
      <c r="L16" s="199">
        <v>1</v>
      </c>
      <c r="M16" s="16">
        <v>9450</v>
      </c>
      <c r="N16" s="18">
        <v>10050</v>
      </c>
      <c r="O16" s="184">
        <v>3600</v>
      </c>
      <c r="P16" s="199">
        <v>1</v>
      </c>
      <c r="Q16" s="16">
        <v>7350</v>
      </c>
      <c r="R16" s="18">
        <v>8250</v>
      </c>
      <c r="S16" s="184">
        <v>2700</v>
      </c>
      <c r="T16" s="199">
        <v>1</v>
      </c>
      <c r="U16" s="16">
        <v>12600</v>
      </c>
      <c r="V16" s="18">
        <v>7500</v>
      </c>
      <c r="W16" s="184">
        <v>7800</v>
      </c>
      <c r="X16" s="199">
        <v>2</v>
      </c>
      <c r="Y16" s="89">
        <v>7350</v>
      </c>
      <c r="Z16" s="96">
        <v>6150</v>
      </c>
      <c r="AA16" s="184">
        <v>9000</v>
      </c>
      <c r="AB16" s="199">
        <v>2</v>
      </c>
      <c r="AC16" s="209">
        <v>7350</v>
      </c>
      <c r="AD16" s="96">
        <v>5850</v>
      </c>
      <c r="AE16" s="184">
        <v>10500</v>
      </c>
      <c r="AF16" s="199">
        <v>3</v>
      </c>
      <c r="AG16" s="209">
        <v>4200</v>
      </c>
      <c r="AH16" s="96">
        <v>4950</v>
      </c>
      <c r="AI16" s="184">
        <v>9750</v>
      </c>
      <c r="AJ16" s="199">
        <v>3</v>
      </c>
      <c r="AK16" s="209">
        <v>8400</v>
      </c>
      <c r="AL16" s="96">
        <v>4125</v>
      </c>
      <c r="AM16" s="184">
        <v>14025</v>
      </c>
      <c r="AN16" s="199">
        <v>5</v>
      </c>
      <c r="AO16" s="209">
        <v>2100</v>
      </c>
      <c r="AP16" s="96">
        <v>5025</v>
      </c>
      <c r="AQ16" s="184">
        <v>11100</v>
      </c>
      <c r="AR16" s="199">
        <v>4</v>
      </c>
      <c r="AS16" s="209">
        <v>4200</v>
      </c>
      <c r="AT16" s="96">
        <v>6600</v>
      </c>
      <c r="AU16" s="184">
        <v>8700</v>
      </c>
      <c r="AV16" s="199">
        <v>2</v>
      </c>
      <c r="AW16" s="209">
        <v>7350</v>
      </c>
      <c r="AX16" s="96">
        <v>3900</v>
      </c>
      <c r="AY16" s="184">
        <v>12150</v>
      </c>
      <c r="AZ16" s="199">
        <v>5</v>
      </c>
      <c r="BA16" s="209">
        <v>4200</v>
      </c>
      <c r="BB16" s="96">
        <v>6150</v>
      </c>
      <c r="BC16" s="184">
        <v>10200</v>
      </c>
      <c r="BD16" s="199">
        <v>3</v>
      </c>
      <c r="BE16" s="209">
        <v>4200</v>
      </c>
      <c r="BF16" s="96">
        <v>3900</v>
      </c>
      <c r="BG16" s="184">
        <v>10500</v>
      </c>
      <c r="BH16" s="199">
        <v>5</v>
      </c>
      <c r="BI16" s="209">
        <v>8400</v>
      </c>
      <c r="BJ16" s="96">
        <v>8400</v>
      </c>
      <c r="BK16" s="184">
        <v>10500</v>
      </c>
      <c r="BL16" s="199">
        <v>2</v>
      </c>
      <c r="BM16" s="209">
        <v>3150</v>
      </c>
      <c r="BN16" s="96">
        <v>7650</v>
      </c>
      <c r="BO16" s="184">
        <v>6000</v>
      </c>
      <c r="BP16" s="199">
        <v>1</v>
      </c>
      <c r="BQ16" s="209">
        <v>10300</v>
      </c>
      <c r="BR16" s="96">
        <v>8950</v>
      </c>
      <c r="BS16" s="184">
        <v>7350</v>
      </c>
      <c r="BT16" s="199">
        <v>1</v>
      </c>
      <c r="BU16" s="209">
        <v>9450</v>
      </c>
      <c r="BV16" s="96">
        <v>8400</v>
      </c>
      <c r="BW16" s="184">
        <v>8400</v>
      </c>
      <c r="BX16" s="199">
        <v>2</v>
      </c>
      <c r="BY16" s="209"/>
      <c r="BZ16" s="96">
        <v>4200</v>
      </c>
      <c r="CA16" s="184">
        <v>14700</v>
      </c>
      <c r="CB16" s="199">
        <v>5</v>
      </c>
      <c r="CC16" s="209">
        <v>4200</v>
      </c>
      <c r="CD16" s="96">
        <v>5400</v>
      </c>
      <c r="CE16" s="184">
        <v>13500</v>
      </c>
      <c r="CF16" s="199">
        <v>4</v>
      </c>
    </row>
    <row r="17" spans="1:84" x14ac:dyDescent="0.45">
      <c r="A17" s="82">
        <v>12</v>
      </c>
      <c r="B17" s="85" t="s">
        <v>65</v>
      </c>
      <c r="C17" s="86" t="s">
        <v>83</v>
      </c>
      <c r="D17" s="27"/>
      <c r="E17" s="16"/>
      <c r="F17" s="18">
        <v>900</v>
      </c>
      <c r="G17" s="184">
        <v>5220</v>
      </c>
      <c r="H17" s="199">
        <v>5</v>
      </c>
      <c r="I17" s="190"/>
      <c r="J17" s="18">
        <v>1440</v>
      </c>
      <c r="K17" s="184">
        <v>3780</v>
      </c>
      <c r="L17" s="199">
        <v>5</v>
      </c>
      <c r="M17" s="16"/>
      <c r="N17" s="18"/>
      <c r="O17" s="184">
        <v>3780</v>
      </c>
      <c r="P17" s="199">
        <v>5</v>
      </c>
      <c r="Q17" s="16"/>
      <c r="R17" s="18">
        <v>360</v>
      </c>
      <c r="S17" s="184">
        <v>3420</v>
      </c>
      <c r="T17" s="199">
        <v>5</v>
      </c>
      <c r="U17" s="17"/>
      <c r="V17" s="18"/>
      <c r="W17" s="184">
        <v>3420</v>
      </c>
      <c r="X17" s="199">
        <v>5</v>
      </c>
      <c r="Y17" s="92"/>
      <c r="Z17" s="96"/>
      <c r="AA17" s="184">
        <v>3420</v>
      </c>
      <c r="AB17" s="199">
        <v>5</v>
      </c>
      <c r="AC17" s="211"/>
      <c r="AD17" s="96"/>
      <c r="AE17" s="184">
        <v>3420</v>
      </c>
      <c r="AF17" s="199">
        <v>5</v>
      </c>
      <c r="AG17" s="211"/>
      <c r="AH17" s="96"/>
      <c r="AI17" s="184">
        <v>3420</v>
      </c>
      <c r="AJ17" s="199">
        <v>5</v>
      </c>
      <c r="AK17" s="211"/>
      <c r="AL17" s="96"/>
      <c r="AM17" s="184">
        <v>3420</v>
      </c>
      <c r="AN17" s="199">
        <v>5</v>
      </c>
      <c r="AO17" s="211"/>
      <c r="AP17" s="96"/>
      <c r="AQ17" s="184">
        <v>3420</v>
      </c>
      <c r="AR17" s="199">
        <v>5</v>
      </c>
      <c r="AS17" s="211"/>
      <c r="AT17" s="96">
        <v>360</v>
      </c>
      <c r="AU17" s="184">
        <v>3060</v>
      </c>
      <c r="AV17" s="199">
        <v>5</v>
      </c>
      <c r="AW17" s="211"/>
      <c r="AX17" s="96"/>
      <c r="AY17" s="184">
        <v>3060</v>
      </c>
      <c r="AZ17" s="199">
        <v>5</v>
      </c>
      <c r="BA17" s="211"/>
      <c r="BB17" s="96">
        <v>540</v>
      </c>
      <c r="BC17" s="184">
        <v>2520</v>
      </c>
      <c r="BD17" s="199">
        <v>5</v>
      </c>
      <c r="BE17" s="211"/>
      <c r="BF17" s="96"/>
      <c r="BG17" s="184">
        <v>2520</v>
      </c>
      <c r="BH17" s="199">
        <v>5</v>
      </c>
      <c r="BI17" s="211"/>
      <c r="BJ17" s="96"/>
      <c r="BK17" s="184">
        <v>2520</v>
      </c>
      <c r="BL17" s="199">
        <v>5</v>
      </c>
      <c r="BM17" s="211"/>
      <c r="BN17" s="96"/>
      <c r="BO17" s="184">
        <v>2520</v>
      </c>
      <c r="BP17" s="199">
        <v>5</v>
      </c>
      <c r="BQ17" s="211"/>
      <c r="BR17" s="96"/>
      <c r="BS17" s="184">
        <v>2520</v>
      </c>
      <c r="BT17" s="199">
        <v>5</v>
      </c>
      <c r="BU17" s="211"/>
      <c r="BV17" s="96"/>
      <c r="BW17" s="184">
        <v>2520</v>
      </c>
      <c r="BX17" s="199">
        <v>5</v>
      </c>
      <c r="BY17" s="211"/>
      <c r="BZ17" s="96"/>
      <c r="CA17" s="184">
        <v>2520</v>
      </c>
      <c r="CB17" s="199">
        <v>5</v>
      </c>
      <c r="CC17" s="211"/>
      <c r="CD17" s="96"/>
      <c r="CE17" s="184">
        <v>2520</v>
      </c>
      <c r="CF17" s="199">
        <v>5</v>
      </c>
    </row>
    <row r="18" spans="1:84" x14ac:dyDescent="0.45">
      <c r="A18" s="238">
        <v>13</v>
      </c>
      <c r="B18" s="245" t="s">
        <v>65</v>
      </c>
      <c r="C18" s="246" t="s">
        <v>84</v>
      </c>
      <c r="D18" s="27" t="s">
        <v>57</v>
      </c>
      <c r="E18" s="247">
        <v>7560</v>
      </c>
      <c r="F18" s="18">
        <v>7020</v>
      </c>
      <c r="G18" s="281">
        <v>14400</v>
      </c>
      <c r="H18" s="201">
        <v>4</v>
      </c>
      <c r="I18" s="282">
        <v>1260</v>
      </c>
      <c r="J18" s="18">
        <v>8100</v>
      </c>
      <c r="K18" s="281">
        <v>5040</v>
      </c>
      <c r="L18" s="201">
        <v>1</v>
      </c>
      <c r="M18" s="247">
        <v>12600</v>
      </c>
      <c r="N18" s="18">
        <v>11340</v>
      </c>
      <c r="O18" s="281">
        <v>5040</v>
      </c>
      <c r="P18" s="201">
        <v>1</v>
      </c>
      <c r="Q18" s="247">
        <v>8820</v>
      </c>
      <c r="R18" s="18">
        <v>8100</v>
      </c>
      <c r="S18" s="281">
        <v>4500</v>
      </c>
      <c r="T18" s="201">
        <v>1</v>
      </c>
      <c r="U18" s="286">
        <v>15120</v>
      </c>
      <c r="V18" s="18">
        <v>10260</v>
      </c>
      <c r="W18" s="281">
        <v>9360</v>
      </c>
      <c r="X18" s="201">
        <v>1</v>
      </c>
      <c r="Y18" s="249">
        <v>8820</v>
      </c>
      <c r="Z18" s="96">
        <v>6480</v>
      </c>
      <c r="AA18" s="281">
        <v>10440</v>
      </c>
      <c r="AB18" s="201">
        <v>2</v>
      </c>
      <c r="AC18" s="285">
        <v>7560</v>
      </c>
      <c r="AD18" s="96">
        <v>5040</v>
      </c>
      <c r="AE18" s="281">
        <v>11700</v>
      </c>
      <c r="AF18" s="201">
        <v>3</v>
      </c>
      <c r="AG18" s="285">
        <v>17640</v>
      </c>
      <c r="AH18" s="96">
        <v>6300</v>
      </c>
      <c r="AI18" s="281">
        <v>22500</v>
      </c>
      <c r="AJ18" s="201">
        <v>5</v>
      </c>
      <c r="AK18" s="285">
        <v>2520</v>
      </c>
      <c r="AL18" s="96">
        <v>9450</v>
      </c>
      <c r="AM18" s="281">
        <v>12330</v>
      </c>
      <c r="AN18" s="201">
        <v>2</v>
      </c>
      <c r="AO18" s="285">
        <v>10080</v>
      </c>
      <c r="AP18" s="96">
        <v>8550</v>
      </c>
      <c r="AQ18" s="281">
        <v>13860</v>
      </c>
      <c r="AR18" s="201">
        <v>3</v>
      </c>
      <c r="AS18" s="285">
        <v>10080</v>
      </c>
      <c r="AT18" s="96">
        <v>9180</v>
      </c>
      <c r="AU18" s="281">
        <v>14760</v>
      </c>
      <c r="AV18" s="201">
        <v>3</v>
      </c>
      <c r="AW18" s="285">
        <v>7560</v>
      </c>
      <c r="AX18" s="96">
        <v>9720</v>
      </c>
      <c r="AY18" s="281">
        <v>12600</v>
      </c>
      <c r="AZ18" s="201">
        <v>3</v>
      </c>
      <c r="BA18" s="285">
        <v>13860</v>
      </c>
      <c r="BB18" s="96">
        <v>12600</v>
      </c>
      <c r="BC18" s="281">
        <v>13860</v>
      </c>
      <c r="BD18" s="201">
        <v>2</v>
      </c>
      <c r="BE18" s="285">
        <v>10080</v>
      </c>
      <c r="BF18" s="96">
        <v>7560</v>
      </c>
      <c r="BG18" s="281">
        <v>16380</v>
      </c>
      <c r="BH18" s="201">
        <v>4</v>
      </c>
      <c r="BI18" s="285">
        <v>13860</v>
      </c>
      <c r="BJ18" s="96">
        <v>13320</v>
      </c>
      <c r="BK18" s="281">
        <v>15660</v>
      </c>
      <c r="BL18" s="201">
        <v>2</v>
      </c>
      <c r="BM18" s="285">
        <v>6300</v>
      </c>
      <c r="BN18" s="96">
        <v>10620</v>
      </c>
      <c r="BO18" s="281">
        <v>11340</v>
      </c>
      <c r="BP18" s="201">
        <v>2</v>
      </c>
      <c r="BQ18" s="285">
        <v>7560</v>
      </c>
      <c r="BR18" s="96">
        <v>8820</v>
      </c>
      <c r="BS18" s="281">
        <v>10080</v>
      </c>
      <c r="BT18" s="201">
        <v>2</v>
      </c>
      <c r="BU18" s="285">
        <v>15120</v>
      </c>
      <c r="BV18" s="96">
        <v>6300</v>
      </c>
      <c r="BW18" s="281">
        <v>18900</v>
      </c>
      <c r="BX18" s="201">
        <v>5</v>
      </c>
      <c r="BY18" s="285">
        <v>7560</v>
      </c>
      <c r="BZ18" s="96">
        <v>8670</v>
      </c>
      <c r="CA18" s="281">
        <v>17640</v>
      </c>
      <c r="CB18" s="201">
        <v>4</v>
      </c>
      <c r="CC18" s="285">
        <v>5040</v>
      </c>
      <c r="CD18" s="96">
        <v>6300</v>
      </c>
      <c r="CE18" s="281">
        <v>16380</v>
      </c>
      <c r="CF18" s="201">
        <v>4</v>
      </c>
    </row>
    <row r="19" spans="1:84" x14ac:dyDescent="0.45">
      <c r="A19" s="231"/>
      <c r="B19" s="233"/>
      <c r="C19" s="235"/>
      <c r="D19" s="27" t="s">
        <v>58</v>
      </c>
      <c r="E19" s="237"/>
      <c r="F19" s="18"/>
      <c r="G19" s="273"/>
      <c r="H19" s="198"/>
      <c r="I19" s="275"/>
      <c r="J19" s="18">
        <v>2520</v>
      </c>
      <c r="K19" s="273"/>
      <c r="L19" s="198"/>
      <c r="M19" s="237"/>
      <c r="N19" s="18">
        <v>1260</v>
      </c>
      <c r="O19" s="273"/>
      <c r="P19" s="198"/>
      <c r="Q19" s="237"/>
      <c r="R19" s="18">
        <v>1260</v>
      </c>
      <c r="S19" s="273"/>
      <c r="T19" s="198"/>
      <c r="U19" s="284"/>
      <c r="V19" s="18"/>
      <c r="W19" s="273"/>
      <c r="X19" s="198"/>
      <c r="Y19" s="244"/>
      <c r="Z19" s="96">
        <v>1260</v>
      </c>
      <c r="AA19" s="273"/>
      <c r="AB19" s="198"/>
      <c r="AC19" s="280"/>
      <c r="AD19" s="96">
        <v>1260</v>
      </c>
      <c r="AE19" s="273"/>
      <c r="AF19" s="198"/>
      <c r="AG19" s="280"/>
      <c r="AH19" s="96">
        <v>1260</v>
      </c>
      <c r="AI19" s="273"/>
      <c r="AJ19" s="198"/>
      <c r="AK19" s="280"/>
      <c r="AL19" s="96">
        <v>1260</v>
      </c>
      <c r="AM19" s="273"/>
      <c r="AN19" s="198"/>
      <c r="AO19" s="280"/>
      <c r="AP19" s="96"/>
      <c r="AQ19" s="273"/>
      <c r="AR19" s="198"/>
      <c r="AS19" s="280"/>
      <c r="AT19" s="96"/>
      <c r="AU19" s="273"/>
      <c r="AV19" s="198"/>
      <c r="AW19" s="280"/>
      <c r="AX19" s="96"/>
      <c r="AY19" s="273"/>
      <c r="AZ19" s="198"/>
      <c r="BA19" s="280"/>
      <c r="BB19" s="96"/>
      <c r="BC19" s="273"/>
      <c r="BD19" s="198"/>
      <c r="BE19" s="280"/>
      <c r="BF19" s="96"/>
      <c r="BG19" s="273"/>
      <c r="BH19" s="198"/>
      <c r="BI19" s="280"/>
      <c r="BJ19" s="96"/>
      <c r="BK19" s="273"/>
      <c r="BL19" s="198"/>
      <c r="BM19" s="280"/>
      <c r="BN19" s="96"/>
      <c r="BO19" s="273"/>
      <c r="BP19" s="198"/>
      <c r="BQ19" s="280"/>
      <c r="BR19" s="96"/>
      <c r="BS19" s="273"/>
      <c r="BT19" s="198"/>
      <c r="BU19" s="280"/>
      <c r="BV19" s="96"/>
      <c r="BW19" s="273"/>
      <c r="BX19" s="198"/>
      <c r="BY19" s="280"/>
      <c r="BZ19" s="96"/>
      <c r="CA19" s="273"/>
      <c r="CB19" s="198"/>
      <c r="CC19" s="280"/>
      <c r="CD19" s="96"/>
      <c r="CE19" s="273"/>
      <c r="CF19" s="198"/>
    </row>
    <row r="20" spans="1:84" x14ac:dyDescent="0.45">
      <c r="A20" s="82">
        <v>15</v>
      </c>
      <c r="B20" s="77" t="s">
        <v>65</v>
      </c>
      <c r="C20" s="78" t="s">
        <v>88</v>
      </c>
      <c r="D20" s="27"/>
      <c r="E20" s="16"/>
      <c r="F20" s="18">
        <v>162.5</v>
      </c>
      <c r="G20" s="184">
        <v>1587.5</v>
      </c>
      <c r="H20" s="199">
        <v>5</v>
      </c>
      <c r="I20" s="190"/>
      <c r="J20" s="18">
        <v>125</v>
      </c>
      <c r="K20" s="184">
        <v>1462.5</v>
      </c>
      <c r="L20" s="199">
        <v>5</v>
      </c>
      <c r="M20" s="16"/>
      <c r="N20" s="18"/>
      <c r="O20" s="184">
        <v>1462.5</v>
      </c>
      <c r="P20" s="199">
        <v>5</v>
      </c>
      <c r="Q20" s="16">
        <v>1050</v>
      </c>
      <c r="R20" s="18">
        <v>350</v>
      </c>
      <c r="S20" s="184">
        <v>2162.5</v>
      </c>
      <c r="T20" s="199">
        <v>5</v>
      </c>
      <c r="U20" s="16">
        <v>1050</v>
      </c>
      <c r="V20" s="18">
        <v>1225</v>
      </c>
      <c r="W20" s="184">
        <v>1988</v>
      </c>
      <c r="X20" s="199">
        <v>3</v>
      </c>
      <c r="Y20" s="89"/>
      <c r="Z20" s="96">
        <v>800</v>
      </c>
      <c r="AA20" s="184">
        <v>1187.5</v>
      </c>
      <c r="AB20" s="199">
        <v>2</v>
      </c>
      <c r="AC20" s="209">
        <v>1050</v>
      </c>
      <c r="AD20" s="96">
        <v>150</v>
      </c>
      <c r="AE20" s="184">
        <v>2088</v>
      </c>
      <c r="AF20" s="199">
        <v>5</v>
      </c>
      <c r="AG20" s="209"/>
      <c r="AH20" s="96">
        <v>525</v>
      </c>
      <c r="AI20" s="184">
        <v>1562.5</v>
      </c>
      <c r="AJ20" s="199">
        <v>5</v>
      </c>
      <c r="AK20" s="209">
        <v>1050</v>
      </c>
      <c r="AL20" s="96">
        <v>62.5</v>
      </c>
      <c r="AM20" s="184">
        <v>2550</v>
      </c>
      <c r="AN20" s="199">
        <v>5</v>
      </c>
      <c r="AO20" s="209"/>
      <c r="AP20" s="96">
        <v>1325</v>
      </c>
      <c r="AQ20" s="184">
        <v>1225</v>
      </c>
      <c r="AR20" s="199">
        <v>2</v>
      </c>
      <c r="AS20" s="209">
        <v>1050</v>
      </c>
      <c r="AT20" s="96">
        <v>475</v>
      </c>
      <c r="AU20" s="184">
        <v>1800</v>
      </c>
      <c r="AV20" s="199">
        <v>5</v>
      </c>
      <c r="AW20" s="209"/>
      <c r="AX20" s="96"/>
      <c r="AY20" s="184">
        <v>1800</v>
      </c>
      <c r="AZ20" s="199">
        <v>5</v>
      </c>
      <c r="BA20" s="209"/>
      <c r="BB20" s="96">
        <v>325</v>
      </c>
      <c r="BC20" s="184">
        <v>1475</v>
      </c>
      <c r="BD20" s="199">
        <v>5</v>
      </c>
      <c r="BE20" s="209">
        <v>1050</v>
      </c>
      <c r="BF20" s="96">
        <v>1475</v>
      </c>
      <c r="BG20" s="184">
        <v>1050</v>
      </c>
      <c r="BH20" s="199">
        <v>1</v>
      </c>
      <c r="BI20" s="209"/>
      <c r="BJ20" s="96">
        <v>225</v>
      </c>
      <c r="BK20" s="184">
        <v>825</v>
      </c>
      <c r="BL20" s="199">
        <v>5</v>
      </c>
      <c r="BM20" s="209"/>
      <c r="BN20" s="96">
        <v>100</v>
      </c>
      <c r="BO20" s="184">
        <v>725</v>
      </c>
      <c r="BP20" s="199">
        <v>5</v>
      </c>
      <c r="BQ20" s="209">
        <v>2100</v>
      </c>
      <c r="BR20" s="96">
        <v>2225</v>
      </c>
      <c r="BS20" s="184">
        <v>600</v>
      </c>
      <c r="BT20" s="199">
        <v>1</v>
      </c>
      <c r="BU20" s="209"/>
      <c r="BV20" s="96">
        <v>62.5</v>
      </c>
      <c r="BW20" s="184">
        <v>538</v>
      </c>
      <c r="BX20" s="199">
        <v>5</v>
      </c>
      <c r="BY20" s="209">
        <v>2100</v>
      </c>
      <c r="BZ20" s="96">
        <v>975</v>
      </c>
      <c r="CA20" s="184">
        <v>1663</v>
      </c>
      <c r="CB20" s="199">
        <v>3</v>
      </c>
      <c r="CC20" s="209"/>
      <c r="CD20" s="96">
        <v>250</v>
      </c>
      <c r="CE20" s="184">
        <v>1413</v>
      </c>
      <c r="CF20" s="199">
        <v>5</v>
      </c>
    </row>
    <row r="21" spans="1:84" x14ac:dyDescent="0.45">
      <c r="A21" s="82">
        <v>16</v>
      </c>
      <c r="B21" s="77" t="s">
        <v>65</v>
      </c>
      <c r="C21" s="78" t="s">
        <v>89</v>
      </c>
      <c r="D21" s="27"/>
      <c r="E21" s="16">
        <v>6300</v>
      </c>
      <c r="F21" s="18">
        <v>3780</v>
      </c>
      <c r="G21" s="184">
        <v>3780</v>
      </c>
      <c r="H21" s="199">
        <v>2</v>
      </c>
      <c r="I21" s="190">
        <v>1260</v>
      </c>
      <c r="J21" s="18">
        <v>5040</v>
      </c>
      <c r="K21" s="184"/>
      <c r="L21" s="199">
        <v>1</v>
      </c>
      <c r="M21" s="16">
        <v>10080</v>
      </c>
      <c r="N21" s="18">
        <v>7560</v>
      </c>
      <c r="O21" s="184">
        <v>2520</v>
      </c>
      <c r="P21" s="199">
        <v>1</v>
      </c>
      <c r="Q21" s="16">
        <v>7560</v>
      </c>
      <c r="R21" s="18">
        <v>10080</v>
      </c>
      <c r="S21" s="184"/>
      <c r="T21" s="199">
        <v>1</v>
      </c>
      <c r="U21" s="16">
        <v>3780</v>
      </c>
      <c r="V21" s="18">
        <v>3780</v>
      </c>
      <c r="W21" s="184"/>
      <c r="X21" s="199">
        <v>1</v>
      </c>
      <c r="Y21" s="89">
        <v>15120</v>
      </c>
      <c r="Z21" s="96">
        <v>5040</v>
      </c>
      <c r="AA21" s="184">
        <v>10080</v>
      </c>
      <c r="AB21" s="199">
        <v>4</v>
      </c>
      <c r="AC21" s="209">
        <v>10080</v>
      </c>
      <c r="AD21" s="96">
        <v>6300</v>
      </c>
      <c r="AE21" s="184">
        <v>13860</v>
      </c>
      <c r="AF21" s="199">
        <v>3</v>
      </c>
      <c r="AG21" s="209">
        <v>6300</v>
      </c>
      <c r="AH21" s="96">
        <v>5040</v>
      </c>
      <c r="AI21" s="184">
        <v>15120</v>
      </c>
      <c r="AJ21" s="199">
        <v>5</v>
      </c>
      <c r="AK21" s="209">
        <v>6300</v>
      </c>
      <c r="AL21" s="96">
        <v>5040</v>
      </c>
      <c r="AM21" s="184">
        <v>16380</v>
      </c>
      <c r="AN21" s="199">
        <v>5</v>
      </c>
      <c r="AO21" s="209">
        <v>2505</v>
      </c>
      <c r="AP21" s="96">
        <v>5040</v>
      </c>
      <c r="AQ21" s="184">
        <v>13845</v>
      </c>
      <c r="AR21" s="199">
        <v>5</v>
      </c>
      <c r="AS21" s="209">
        <v>2520</v>
      </c>
      <c r="AT21" s="96">
        <v>6285</v>
      </c>
      <c r="AU21" s="184">
        <v>10080</v>
      </c>
      <c r="AV21" s="199">
        <v>3</v>
      </c>
      <c r="AW21" s="209">
        <v>5040</v>
      </c>
      <c r="AX21" s="96">
        <v>7560</v>
      </c>
      <c r="AY21" s="184">
        <v>7560</v>
      </c>
      <c r="AZ21" s="199">
        <v>2</v>
      </c>
      <c r="BA21" s="209">
        <v>1260</v>
      </c>
      <c r="BB21" s="96">
        <v>2520</v>
      </c>
      <c r="BC21" s="184">
        <v>6300</v>
      </c>
      <c r="BD21" s="199">
        <v>5</v>
      </c>
      <c r="BE21" s="209">
        <v>11340</v>
      </c>
      <c r="BF21" s="96">
        <v>5040</v>
      </c>
      <c r="BG21" s="184">
        <v>1260</v>
      </c>
      <c r="BH21" s="199">
        <v>1</v>
      </c>
      <c r="BI21" s="209">
        <v>10080</v>
      </c>
      <c r="BJ21" s="96">
        <v>8820</v>
      </c>
      <c r="BK21" s="184">
        <v>13860</v>
      </c>
      <c r="BL21" s="199">
        <v>3</v>
      </c>
      <c r="BM21" s="209">
        <v>2520</v>
      </c>
      <c r="BN21" s="96">
        <v>3780</v>
      </c>
      <c r="BO21" s="184">
        <v>12600</v>
      </c>
      <c r="BP21" s="199">
        <v>5</v>
      </c>
      <c r="BQ21" s="209">
        <v>8820</v>
      </c>
      <c r="BR21" s="96">
        <v>7560</v>
      </c>
      <c r="BS21" s="184">
        <v>13860</v>
      </c>
      <c r="BT21" s="199">
        <v>3</v>
      </c>
      <c r="BU21" s="209">
        <v>6300</v>
      </c>
      <c r="BV21" s="96">
        <v>3780</v>
      </c>
      <c r="BW21" s="184">
        <v>16380</v>
      </c>
      <c r="BX21" s="199">
        <v>4</v>
      </c>
      <c r="BY21" s="209">
        <v>6300</v>
      </c>
      <c r="BZ21" s="96">
        <v>3780</v>
      </c>
      <c r="CA21" s="184">
        <v>18900</v>
      </c>
      <c r="CB21" s="199">
        <v>5</v>
      </c>
      <c r="CC21" s="209">
        <v>1260</v>
      </c>
      <c r="CD21" s="96">
        <v>3780</v>
      </c>
      <c r="CE21" s="184">
        <v>16380</v>
      </c>
      <c r="CF21" s="199">
        <v>5</v>
      </c>
    </row>
    <row r="22" spans="1:84" x14ac:dyDescent="0.45">
      <c r="A22" s="82">
        <v>17</v>
      </c>
      <c r="B22" s="77" t="s">
        <v>65</v>
      </c>
      <c r="C22" s="78" t="s">
        <v>90</v>
      </c>
      <c r="D22" s="27"/>
      <c r="E22" s="16">
        <v>1500</v>
      </c>
      <c r="F22" s="18">
        <v>1500</v>
      </c>
      <c r="G22" s="184">
        <v>4000</v>
      </c>
      <c r="H22" s="199">
        <v>5</v>
      </c>
      <c r="I22" s="190">
        <v>1500</v>
      </c>
      <c r="J22" s="18">
        <v>1500</v>
      </c>
      <c r="K22" s="184">
        <v>4000</v>
      </c>
      <c r="L22" s="199">
        <v>5</v>
      </c>
      <c r="M22" s="16"/>
      <c r="N22" s="18">
        <v>500</v>
      </c>
      <c r="O22" s="184">
        <v>3500</v>
      </c>
      <c r="P22" s="199">
        <v>5</v>
      </c>
      <c r="Q22" s="16">
        <v>1000</v>
      </c>
      <c r="R22" s="18">
        <v>1500</v>
      </c>
      <c r="S22" s="184">
        <v>3000</v>
      </c>
      <c r="T22" s="199">
        <v>3</v>
      </c>
      <c r="U22" s="16">
        <v>2000</v>
      </c>
      <c r="V22" s="18">
        <v>1000</v>
      </c>
      <c r="W22" s="184">
        <v>4000</v>
      </c>
      <c r="X22" s="199">
        <v>5</v>
      </c>
      <c r="Y22" s="89"/>
      <c r="Z22" s="96">
        <v>1000</v>
      </c>
      <c r="AA22" s="184">
        <v>3000</v>
      </c>
      <c r="AB22" s="199">
        <v>5</v>
      </c>
      <c r="AC22" s="209">
        <v>1500</v>
      </c>
      <c r="AD22" s="96">
        <v>1000</v>
      </c>
      <c r="AE22" s="184">
        <v>3500</v>
      </c>
      <c r="AF22" s="199">
        <v>5</v>
      </c>
      <c r="AG22" s="209">
        <v>1500</v>
      </c>
      <c r="AH22" s="96">
        <v>500</v>
      </c>
      <c r="AI22" s="184">
        <v>4500</v>
      </c>
      <c r="AJ22" s="199">
        <v>5</v>
      </c>
      <c r="AK22" s="209">
        <v>1500</v>
      </c>
      <c r="AL22" s="96">
        <v>1500</v>
      </c>
      <c r="AM22" s="184">
        <v>4500</v>
      </c>
      <c r="AN22" s="199">
        <v>5</v>
      </c>
      <c r="AO22" s="209"/>
      <c r="AP22" s="96"/>
      <c r="AQ22" s="184">
        <v>4500</v>
      </c>
      <c r="AR22" s="199">
        <v>5</v>
      </c>
      <c r="AS22" s="209">
        <v>1000</v>
      </c>
      <c r="AT22" s="96">
        <v>500</v>
      </c>
      <c r="AU22" s="184">
        <v>5000</v>
      </c>
      <c r="AV22" s="199">
        <v>5</v>
      </c>
      <c r="AW22" s="209"/>
      <c r="AX22" s="96">
        <v>2500</v>
      </c>
      <c r="AY22" s="184">
        <v>2500</v>
      </c>
      <c r="AZ22" s="199">
        <v>2</v>
      </c>
      <c r="BA22" s="209">
        <v>500</v>
      </c>
      <c r="BB22" s="96"/>
      <c r="BC22" s="184">
        <v>3000</v>
      </c>
      <c r="BD22" s="199">
        <v>5</v>
      </c>
      <c r="BE22" s="209"/>
      <c r="BF22" s="96">
        <v>1000</v>
      </c>
      <c r="BG22" s="184">
        <v>2000</v>
      </c>
      <c r="BH22" s="199">
        <v>3</v>
      </c>
      <c r="BI22" s="209">
        <v>500</v>
      </c>
      <c r="BJ22" s="96">
        <v>500</v>
      </c>
      <c r="BK22" s="184">
        <v>2000</v>
      </c>
      <c r="BL22" s="199">
        <v>5</v>
      </c>
      <c r="BM22" s="209">
        <v>3500</v>
      </c>
      <c r="BN22" s="96">
        <v>1000</v>
      </c>
      <c r="BO22" s="184">
        <v>4500</v>
      </c>
      <c r="BP22" s="199">
        <v>5</v>
      </c>
      <c r="BQ22" s="209">
        <v>500</v>
      </c>
      <c r="BR22" s="96"/>
      <c r="BS22" s="184">
        <v>5000</v>
      </c>
      <c r="BT22" s="199">
        <v>5</v>
      </c>
      <c r="BU22" s="209"/>
      <c r="BV22" s="96">
        <v>1000</v>
      </c>
      <c r="BW22" s="184">
        <v>4000</v>
      </c>
      <c r="BX22" s="199">
        <v>5</v>
      </c>
      <c r="BY22" s="209"/>
      <c r="BZ22" s="96">
        <v>1000</v>
      </c>
      <c r="CA22" s="184">
        <v>3000</v>
      </c>
      <c r="CB22" s="199">
        <v>5</v>
      </c>
      <c r="CC22" s="209">
        <v>1000</v>
      </c>
      <c r="CD22" s="96">
        <v>1000</v>
      </c>
      <c r="CE22" s="184">
        <v>3000</v>
      </c>
      <c r="CF22" s="199">
        <v>5</v>
      </c>
    </row>
    <row r="23" spans="1:84" x14ac:dyDescent="0.45">
      <c r="A23" s="82">
        <v>18</v>
      </c>
      <c r="B23" s="77" t="s">
        <v>65</v>
      </c>
      <c r="C23" s="78" t="s">
        <v>109</v>
      </c>
      <c r="D23" s="27"/>
      <c r="E23" s="16">
        <v>2500</v>
      </c>
      <c r="F23" s="18">
        <v>4000</v>
      </c>
      <c r="G23" s="184">
        <v>500</v>
      </c>
      <c r="H23" s="199">
        <v>1</v>
      </c>
      <c r="I23" s="190">
        <v>6000</v>
      </c>
      <c r="J23" s="18">
        <v>6000</v>
      </c>
      <c r="K23" s="184">
        <v>500</v>
      </c>
      <c r="L23" s="199">
        <v>1</v>
      </c>
      <c r="M23" s="16">
        <v>6000</v>
      </c>
      <c r="N23" s="18">
        <v>4000</v>
      </c>
      <c r="O23" s="184">
        <v>2500</v>
      </c>
      <c r="P23" s="199">
        <v>1</v>
      </c>
      <c r="Q23" s="16">
        <v>7500</v>
      </c>
      <c r="R23" s="18">
        <v>4000</v>
      </c>
      <c r="S23" s="184">
        <v>6000</v>
      </c>
      <c r="T23" s="199">
        <v>3</v>
      </c>
      <c r="U23" s="16">
        <v>2000</v>
      </c>
      <c r="V23" s="18">
        <v>4000</v>
      </c>
      <c r="W23" s="184">
        <v>4000</v>
      </c>
      <c r="X23" s="199">
        <v>2</v>
      </c>
      <c r="Y23" s="89">
        <v>5000</v>
      </c>
      <c r="Z23" s="96">
        <v>3000</v>
      </c>
      <c r="AA23" s="184">
        <v>6000</v>
      </c>
      <c r="AB23" s="199">
        <v>4</v>
      </c>
      <c r="AC23" s="209">
        <v>2000</v>
      </c>
      <c r="AD23" s="96">
        <v>2000</v>
      </c>
      <c r="AE23" s="184">
        <v>6000</v>
      </c>
      <c r="AF23" s="199">
        <v>5</v>
      </c>
      <c r="AG23" s="209">
        <v>5000</v>
      </c>
      <c r="AH23" s="96"/>
      <c r="AI23" s="184">
        <v>11000</v>
      </c>
      <c r="AJ23" s="199">
        <v>5</v>
      </c>
      <c r="AK23" s="209"/>
      <c r="AL23" s="96">
        <v>4000</v>
      </c>
      <c r="AM23" s="184">
        <v>7000</v>
      </c>
      <c r="AN23" s="199">
        <v>4</v>
      </c>
      <c r="AO23" s="209"/>
      <c r="AP23" s="96">
        <v>2000</v>
      </c>
      <c r="AQ23" s="184">
        <v>5000</v>
      </c>
      <c r="AR23" s="199">
        <v>5</v>
      </c>
      <c r="AS23" s="209">
        <v>7000</v>
      </c>
      <c r="AT23" s="96">
        <v>7000</v>
      </c>
      <c r="AU23" s="184">
        <v>5000</v>
      </c>
      <c r="AV23" s="199">
        <v>1</v>
      </c>
      <c r="AW23" s="209">
        <v>6000</v>
      </c>
      <c r="AX23" s="96">
        <v>8000</v>
      </c>
      <c r="AY23" s="184">
        <v>3000</v>
      </c>
      <c r="AZ23" s="199">
        <v>1</v>
      </c>
      <c r="BA23" s="209">
        <v>5000</v>
      </c>
      <c r="BB23" s="96">
        <v>4000</v>
      </c>
      <c r="BC23" s="184">
        <v>4000</v>
      </c>
      <c r="BD23" s="199">
        <v>2</v>
      </c>
      <c r="BE23" s="209">
        <v>7000</v>
      </c>
      <c r="BF23" s="96">
        <v>4000</v>
      </c>
      <c r="BG23" s="184">
        <v>7000</v>
      </c>
      <c r="BH23" s="199">
        <v>3</v>
      </c>
      <c r="BI23" s="209">
        <v>2000</v>
      </c>
      <c r="BJ23" s="96">
        <v>4000</v>
      </c>
      <c r="BK23" s="184">
        <v>5000</v>
      </c>
      <c r="BL23" s="199">
        <v>2</v>
      </c>
      <c r="BM23" s="209">
        <v>3000</v>
      </c>
      <c r="BN23" s="96">
        <v>4000</v>
      </c>
      <c r="BO23" s="184">
        <v>4000</v>
      </c>
      <c r="BP23" s="199">
        <v>1</v>
      </c>
      <c r="BQ23" s="209">
        <v>4000</v>
      </c>
      <c r="BR23" s="96">
        <v>2000</v>
      </c>
      <c r="BS23" s="184">
        <v>6000</v>
      </c>
      <c r="BT23" s="199">
        <v>5</v>
      </c>
      <c r="BU23" s="209">
        <v>2000</v>
      </c>
      <c r="BV23" s="96"/>
      <c r="BW23" s="184">
        <v>8000</v>
      </c>
      <c r="BX23" s="199">
        <v>4</v>
      </c>
      <c r="BY23" s="209"/>
      <c r="BZ23" s="96">
        <v>4000</v>
      </c>
      <c r="CA23" s="184">
        <v>4000</v>
      </c>
      <c r="CB23" s="199">
        <v>2</v>
      </c>
      <c r="CC23" s="209"/>
      <c r="CD23" s="96">
        <v>1000</v>
      </c>
      <c r="CE23" s="184">
        <v>3000</v>
      </c>
      <c r="CF23" s="199">
        <v>5</v>
      </c>
    </row>
    <row r="24" spans="1:84" x14ac:dyDescent="0.45">
      <c r="A24" s="82">
        <v>19</v>
      </c>
      <c r="B24" s="77" t="s">
        <v>65</v>
      </c>
      <c r="C24" s="78" t="s">
        <v>91</v>
      </c>
      <c r="D24" s="27"/>
      <c r="E24" s="16"/>
      <c r="F24" s="18"/>
      <c r="G24" s="184">
        <v>520</v>
      </c>
      <c r="H24" s="199">
        <v>5</v>
      </c>
      <c r="I24" s="190"/>
      <c r="J24" s="18"/>
      <c r="K24" s="184">
        <v>520</v>
      </c>
      <c r="L24" s="199">
        <v>5</v>
      </c>
      <c r="M24" s="16"/>
      <c r="N24" s="18"/>
      <c r="O24" s="184">
        <v>520</v>
      </c>
      <c r="P24" s="199">
        <v>5</v>
      </c>
      <c r="Q24" s="16"/>
      <c r="R24" s="18">
        <v>520</v>
      </c>
      <c r="S24" s="184"/>
      <c r="T24" s="199">
        <v>1</v>
      </c>
      <c r="U24" s="16">
        <v>1080</v>
      </c>
      <c r="V24" s="18">
        <v>280</v>
      </c>
      <c r="W24" s="184">
        <v>800</v>
      </c>
      <c r="X24" s="199">
        <v>5</v>
      </c>
      <c r="Y24" s="89"/>
      <c r="Z24" s="96">
        <v>200</v>
      </c>
      <c r="AA24" s="184">
        <v>600</v>
      </c>
      <c r="AB24" s="199">
        <v>5</v>
      </c>
      <c r="AC24" s="209"/>
      <c r="AD24" s="96"/>
      <c r="AE24" s="184">
        <v>600</v>
      </c>
      <c r="AF24" s="199">
        <v>5</v>
      </c>
      <c r="AG24" s="209"/>
      <c r="AH24" s="96"/>
      <c r="AI24" s="184">
        <v>600</v>
      </c>
      <c r="AJ24" s="199">
        <v>5</v>
      </c>
      <c r="AK24" s="209"/>
      <c r="AL24" s="96"/>
      <c r="AM24" s="184">
        <v>600</v>
      </c>
      <c r="AN24" s="199">
        <v>5</v>
      </c>
      <c r="AO24" s="209"/>
      <c r="AP24" s="96"/>
      <c r="AQ24" s="184">
        <v>600</v>
      </c>
      <c r="AR24" s="199">
        <v>5</v>
      </c>
      <c r="AS24" s="209"/>
      <c r="AT24" s="96"/>
      <c r="AU24" s="184">
        <v>600</v>
      </c>
      <c r="AV24" s="199">
        <v>5</v>
      </c>
      <c r="AW24" s="209"/>
      <c r="AX24" s="96">
        <v>400</v>
      </c>
      <c r="AY24" s="184">
        <v>200</v>
      </c>
      <c r="AZ24" s="199">
        <v>1</v>
      </c>
      <c r="BA24" s="209"/>
      <c r="BB24" s="96"/>
      <c r="BC24" s="184">
        <v>200</v>
      </c>
      <c r="BD24" s="199">
        <v>5</v>
      </c>
      <c r="BE24" s="209"/>
      <c r="BF24" s="96"/>
      <c r="BG24" s="184">
        <v>200</v>
      </c>
      <c r="BH24" s="199">
        <v>5</v>
      </c>
      <c r="BI24" s="209">
        <v>200</v>
      </c>
      <c r="BJ24" s="96">
        <v>400</v>
      </c>
      <c r="BK24" s="184"/>
      <c r="BL24" s="199">
        <v>1</v>
      </c>
      <c r="BM24" s="209">
        <v>600</v>
      </c>
      <c r="BN24" s="96"/>
      <c r="BO24" s="184">
        <v>600</v>
      </c>
      <c r="BP24" s="199">
        <v>5</v>
      </c>
      <c r="BQ24" s="209"/>
      <c r="BR24" s="96"/>
      <c r="BS24" s="184">
        <v>600</v>
      </c>
      <c r="BT24" s="199">
        <v>5</v>
      </c>
      <c r="BU24" s="209"/>
      <c r="BV24" s="96">
        <v>600</v>
      </c>
      <c r="BW24" s="184"/>
      <c r="BX24" s="199"/>
      <c r="BY24" s="209">
        <v>720</v>
      </c>
      <c r="BZ24" s="96"/>
      <c r="CA24" s="184">
        <v>720</v>
      </c>
      <c r="CB24" s="199">
        <v>5</v>
      </c>
      <c r="CC24" s="209"/>
      <c r="CD24" s="96"/>
      <c r="CE24" s="184"/>
      <c r="CF24" s="199"/>
    </row>
    <row r="25" spans="1:84" x14ac:dyDescent="0.45">
      <c r="A25" s="82">
        <v>20</v>
      </c>
      <c r="B25" s="75" t="s">
        <v>65</v>
      </c>
      <c r="C25" s="76" t="s">
        <v>130</v>
      </c>
      <c r="D25" s="27"/>
      <c r="E25" s="16"/>
      <c r="F25" s="18"/>
      <c r="G25" s="184"/>
      <c r="H25" s="199"/>
      <c r="I25" s="190"/>
      <c r="J25" s="18"/>
      <c r="K25" s="184"/>
      <c r="L25" s="199"/>
      <c r="M25" s="16"/>
      <c r="N25" s="18"/>
      <c r="O25" s="184"/>
      <c r="P25" s="199"/>
      <c r="Q25" s="16"/>
      <c r="R25" s="18"/>
      <c r="S25" s="184"/>
      <c r="T25" s="199"/>
      <c r="U25" s="16"/>
      <c r="V25" s="18"/>
      <c r="W25" s="184"/>
      <c r="X25" s="199"/>
      <c r="Y25" s="89"/>
      <c r="Z25" s="96"/>
      <c r="AA25" s="184"/>
      <c r="AB25" s="199"/>
      <c r="AC25" s="209"/>
      <c r="AD25" s="96"/>
      <c r="AE25" s="184"/>
      <c r="AF25" s="199"/>
      <c r="AG25" s="209"/>
      <c r="AH25" s="96"/>
      <c r="AI25" s="184"/>
      <c r="AJ25" s="199"/>
      <c r="AK25" s="209"/>
      <c r="AL25" s="96"/>
      <c r="AM25" s="184"/>
      <c r="AN25" s="199"/>
      <c r="AO25" s="209"/>
      <c r="AP25" s="96"/>
      <c r="AQ25" s="184"/>
      <c r="AR25" s="199"/>
      <c r="AS25" s="209"/>
      <c r="AT25" s="96"/>
      <c r="AU25" s="184"/>
      <c r="AV25" s="199"/>
      <c r="AW25" s="209"/>
      <c r="AX25" s="96"/>
      <c r="AY25" s="184"/>
      <c r="AZ25" s="199"/>
      <c r="BA25" s="209"/>
      <c r="BB25" s="100"/>
      <c r="BC25" s="184"/>
      <c r="BD25" s="199"/>
      <c r="BE25" s="209"/>
      <c r="BF25" s="96"/>
      <c r="BG25" s="184"/>
      <c r="BH25" s="199"/>
      <c r="BI25" s="209">
        <v>100</v>
      </c>
      <c r="BJ25" s="96">
        <v>75</v>
      </c>
      <c r="BK25" s="184">
        <v>25</v>
      </c>
      <c r="BL25" s="199">
        <v>1</v>
      </c>
      <c r="BM25" s="209">
        <v>120</v>
      </c>
      <c r="BN25" s="96">
        <v>50</v>
      </c>
      <c r="BO25" s="184">
        <v>95</v>
      </c>
      <c r="BP25" s="199">
        <v>3</v>
      </c>
      <c r="BQ25" s="209"/>
      <c r="BR25" s="96"/>
      <c r="BS25" s="184">
        <v>95</v>
      </c>
      <c r="BT25" s="199">
        <v>5</v>
      </c>
      <c r="BU25" s="209">
        <v>375</v>
      </c>
      <c r="BV25" s="96">
        <v>40</v>
      </c>
      <c r="BW25" s="184">
        <v>430</v>
      </c>
      <c r="BX25" s="199">
        <v>5</v>
      </c>
      <c r="BY25" s="209"/>
      <c r="BZ25" s="96">
        <v>50</v>
      </c>
      <c r="CA25" s="184">
        <v>380</v>
      </c>
      <c r="CB25" s="199">
        <v>5</v>
      </c>
      <c r="CC25" s="209"/>
      <c r="CD25" s="96"/>
      <c r="CE25" s="184"/>
      <c r="CF25" s="199"/>
    </row>
    <row r="26" spans="1:84" x14ac:dyDescent="0.45">
      <c r="A26" s="82">
        <v>21</v>
      </c>
      <c r="B26" s="61" t="s">
        <v>65</v>
      </c>
      <c r="C26" s="71" t="s">
        <v>94</v>
      </c>
      <c r="D26" s="27"/>
      <c r="E26" s="16">
        <v>1000</v>
      </c>
      <c r="F26" s="18">
        <v>2000</v>
      </c>
      <c r="G26" s="184"/>
      <c r="H26" s="199">
        <v>1</v>
      </c>
      <c r="I26" s="190">
        <v>1000</v>
      </c>
      <c r="J26" s="18">
        <v>1000</v>
      </c>
      <c r="K26" s="184"/>
      <c r="L26" s="199">
        <v>1</v>
      </c>
      <c r="M26" s="16">
        <v>3000</v>
      </c>
      <c r="N26" s="18">
        <v>2000</v>
      </c>
      <c r="O26" s="184">
        <v>1000</v>
      </c>
      <c r="P26" s="199">
        <v>1</v>
      </c>
      <c r="Q26" s="16">
        <v>2000</v>
      </c>
      <c r="R26" s="18">
        <v>1000</v>
      </c>
      <c r="S26" s="184">
        <v>2000</v>
      </c>
      <c r="T26" s="199">
        <v>3</v>
      </c>
      <c r="U26" s="16">
        <v>2000</v>
      </c>
      <c r="V26" s="18"/>
      <c r="W26" s="184">
        <v>4000</v>
      </c>
      <c r="X26" s="199">
        <v>5</v>
      </c>
      <c r="Y26" s="89"/>
      <c r="Z26" s="96"/>
      <c r="AA26" s="184">
        <v>4000</v>
      </c>
      <c r="AB26" s="199">
        <v>5</v>
      </c>
      <c r="AC26" s="209"/>
      <c r="AD26" s="96">
        <v>2000</v>
      </c>
      <c r="AE26" s="184">
        <v>2000</v>
      </c>
      <c r="AF26" s="199">
        <v>2</v>
      </c>
      <c r="AG26" s="209"/>
      <c r="AH26" s="96">
        <v>1000</v>
      </c>
      <c r="AI26" s="184">
        <v>1000</v>
      </c>
      <c r="AJ26" s="199">
        <v>2</v>
      </c>
      <c r="AK26" s="209">
        <v>1000</v>
      </c>
      <c r="AL26" s="96"/>
      <c r="AM26" s="184">
        <v>2000</v>
      </c>
      <c r="AN26" s="199">
        <v>5</v>
      </c>
      <c r="AO26" s="209">
        <v>2000</v>
      </c>
      <c r="AP26" s="96"/>
      <c r="AQ26" s="184">
        <v>2000</v>
      </c>
      <c r="AR26" s="199">
        <v>5</v>
      </c>
      <c r="AS26" s="209"/>
      <c r="AT26" s="96">
        <v>1000</v>
      </c>
      <c r="AU26" s="184">
        <v>1000</v>
      </c>
      <c r="AV26" s="199">
        <v>2</v>
      </c>
      <c r="AW26" s="209">
        <v>1000</v>
      </c>
      <c r="AX26" s="96">
        <v>1000</v>
      </c>
      <c r="AY26" s="184">
        <v>1000</v>
      </c>
      <c r="AZ26" s="199">
        <v>2</v>
      </c>
      <c r="BA26" s="209">
        <v>1000</v>
      </c>
      <c r="BB26" s="96">
        <v>1000</v>
      </c>
      <c r="BC26" s="184">
        <v>1000</v>
      </c>
      <c r="BD26" s="199">
        <v>2</v>
      </c>
      <c r="BE26" s="209">
        <v>2000</v>
      </c>
      <c r="BF26" s="96">
        <v>1000</v>
      </c>
      <c r="BG26" s="184">
        <v>2000</v>
      </c>
      <c r="BH26" s="199">
        <v>3</v>
      </c>
      <c r="BI26" s="209"/>
      <c r="BJ26" s="96">
        <v>1000</v>
      </c>
      <c r="BK26" s="184">
        <v>1000</v>
      </c>
      <c r="BL26" s="199">
        <v>1</v>
      </c>
      <c r="BM26" s="209">
        <v>2000</v>
      </c>
      <c r="BN26" s="96">
        <v>1000</v>
      </c>
      <c r="BO26" s="184">
        <v>2000</v>
      </c>
      <c r="BP26" s="199">
        <v>3</v>
      </c>
      <c r="BQ26" s="209">
        <v>2000</v>
      </c>
      <c r="BR26" s="96">
        <v>1000</v>
      </c>
      <c r="BS26" s="184">
        <v>3000</v>
      </c>
      <c r="BT26" s="199">
        <v>5</v>
      </c>
      <c r="BU26" s="209">
        <v>1000</v>
      </c>
      <c r="BV26" s="96">
        <v>1000</v>
      </c>
      <c r="BW26" s="184">
        <v>3000</v>
      </c>
      <c r="BX26" s="199">
        <v>5</v>
      </c>
      <c r="BY26" s="209">
        <v>1000</v>
      </c>
      <c r="BZ26" s="96">
        <v>1000</v>
      </c>
      <c r="CA26" s="184">
        <v>3000</v>
      </c>
      <c r="CB26" s="199">
        <v>5</v>
      </c>
      <c r="CC26" s="209"/>
      <c r="CD26" s="96"/>
      <c r="CE26" s="184">
        <v>3000</v>
      </c>
      <c r="CF26" s="199">
        <v>5</v>
      </c>
    </row>
    <row r="27" spans="1:84" x14ac:dyDescent="0.45">
      <c r="A27" s="82">
        <v>22</v>
      </c>
      <c r="B27" s="61" t="s">
        <v>65</v>
      </c>
      <c r="C27" s="71" t="s">
        <v>95</v>
      </c>
      <c r="D27" s="27"/>
      <c r="E27" s="16">
        <v>1000</v>
      </c>
      <c r="F27" s="18">
        <v>2000</v>
      </c>
      <c r="G27" s="184"/>
      <c r="H27" s="199">
        <v>1</v>
      </c>
      <c r="I27" s="190">
        <v>1000</v>
      </c>
      <c r="J27" s="18">
        <v>1000</v>
      </c>
      <c r="K27" s="184"/>
      <c r="L27" s="199">
        <v>1</v>
      </c>
      <c r="M27" s="16">
        <v>3000</v>
      </c>
      <c r="N27" s="18">
        <v>2000</v>
      </c>
      <c r="O27" s="184">
        <v>1000</v>
      </c>
      <c r="P27" s="199">
        <v>1</v>
      </c>
      <c r="Q27" s="16">
        <v>2000</v>
      </c>
      <c r="R27" s="18">
        <v>1000</v>
      </c>
      <c r="S27" s="184">
        <v>2000</v>
      </c>
      <c r="T27" s="199">
        <v>3</v>
      </c>
      <c r="U27" s="16">
        <v>2000</v>
      </c>
      <c r="V27" s="18">
        <v>2000</v>
      </c>
      <c r="W27" s="184">
        <v>2000</v>
      </c>
      <c r="X27" s="199">
        <v>2</v>
      </c>
      <c r="Y27" s="89"/>
      <c r="Z27" s="96"/>
      <c r="AA27" s="184">
        <v>2000</v>
      </c>
      <c r="AB27" s="199">
        <v>5</v>
      </c>
      <c r="AC27" s="209">
        <v>2000</v>
      </c>
      <c r="AD27" s="96">
        <v>1000</v>
      </c>
      <c r="AE27" s="184">
        <v>3000</v>
      </c>
      <c r="AF27" s="199">
        <v>5</v>
      </c>
      <c r="AG27" s="209"/>
      <c r="AH27" s="96">
        <v>1000</v>
      </c>
      <c r="AI27" s="184">
        <v>2000</v>
      </c>
      <c r="AJ27" s="199">
        <v>3</v>
      </c>
      <c r="AK27" s="209"/>
      <c r="AL27" s="96"/>
      <c r="AM27" s="184">
        <v>2000</v>
      </c>
      <c r="AN27" s="199">
        <v>5</v>
      </c>
      <c r="AO27" s="209">
        <v>3000</v>
      </c>
      <c r="AP27" s="96">
        <v>1000</v>
      </c>
      <c r="AQ27" s="184">
        <v>1000</v>
      </c>
      <c r="AR27" s="199">
        <v>2</v>
      </c>
      <c r="AS27" s="209">
        <v>1000</v>
      </c>
      <c r="AT27" s="96">
        <v>1000</v>
      </c>
      <c r="AU27" s="184">
        <v>1000</v>
      </c>
      <c r="AV27" s="199">
        <v>2</v>
      </c>
      <c r="AW27" s="209">
        <v>1000</v>
      </c>
      <c r="AX27" s="96">
        <v>1000</v>
      </c>
      <c r="AY27" s="184">
        <v>1000</v>
      </c>
      <c r="AZ27" s="199">
        <v>2</v>
      </c>
      <c r="BA27" s="209">
        <v>1000</v>
      </c>
      <c r="BB27" s="96">
        <v>1000</v>
      </c>
      <c r="BC27" s="184">
        <v>1000</v>
      </c>
      <c r="BD27" s="199">
        <v>2</v>
      </c>
      <c r="BE27" s="209">
        <v>3000</v>
      </c>
      <c r="BF27" s="96">
        <v>3000</v>
      </c>
      <c r="BG27" s="184">
        <v>1000</v>
      </c>
      <c r="BH27" s="199">
        <v>5</v>
      </c>
      <c r="BI27" s="209">
        <v>2000</v>
      </c>
      <c r="BJ27" s="96">
        <v>2000</v>
      </c>
      <c r="BK27" s="184">
        <v>1000</v>
      </c>
      <c r="BL27" s="199">
        <v>1</v>
      </c>
      <c r="BM27" s="209">
        <v>2000</v>
      </c>
      <c r="BN27" s="96">
        <v>1000</v>
      </c>
      <c r="BO27" s="184">
        <v>2000</v>
      </c>
      <c r="BP27" s="199">
        <v>3</v>
      </c>
      <c r="BQ27" s="209">
        <v>2000</v>
      </c>
      <c r="BR27" s="96">
        <v>1000</v>
      </c>
      <c r="BS27" s="184">
        <v>3000</v>
      </c>
      <c r="BT27" s="199">
        <v>5</v>
      </c>
      <c r="BU27" s="209">
        <v>1000</v>
      </c>
      <c r="BV27" s="96"/>
      <c r="BW27" s="184">
        <v>4000</v>
      </c>
      <c r="BX27" s="199">
        <v>5</v>
      </c>
      <c r="BY27" s="209"/>
      <c r="BZ27" s="96">
        <v>2000</v>
      </c>
      <c r="CA27" s="184">
        <v>2000</v>
      </c>
      <c r="CB27" s="199">
        <v>2</v>
      </c>
      <c r="CC27" s="209"/>
      <c r="CD27" s="96"/>
      <c r="CE27" s="184">
        <v>2000</v>
      </c>
      <c r="CF27" s="199">
        <v>5</v>
      </c>
    </row>
    <row r="28" spans="1:84" x14ac:dyDescent="0.45">
      <c r="A28" s="238">
        <v>23</v>
      </c>
      <c r="B28" s="245" t="s">
        <v>65</v>
      </c>
      <c r="C28" s="246" t="s">
        <v>96</v>
      </c>
      <c r="D28" s="27" t="s">
        <v>57</v>
      </c>
      <c r="E28" s="247">
        <v>3000</v>
      </c>
      <c r="F28" s="18">
        <v>1250</v>
      </c>
      <c r="G28" s="281">
        <v>5250</v>
      </c>
      <c r="H28" s="201">
        <v>5</v>
      </c>
      <c r="I28" s="282">
        <v>1500</v>
      </c>
      <c r="J28" s="18">
        <v>375</v>
      </c>
      <c r="K28" s="281">
        <v>5625</v>
      </c>
      <c r="L28" s="201">
        <v>5</v>
      </c>
      <c r="M28" s="247"/>
      <c r="N28" s="18">
        <v>1875</v>
      </c>
      <c r="O28" s="281">
        <v>3000</v>
      </c>
      <c r="P28" s="201">
        <v>2</v>
      </c>
      <c r="Q28" s="247"/>
      <c r="R28" s="18">
        <v>650</v>
      </c>
      <c r="S28" s="281">
        <v>2350</v>
      </c>
      <c r="T28" s="201">
        <v>5</v>
      </c>
      <c r="U28" s="286">
        <v>1500</v>
      </c>
      <c r="V28" s="18">
        <v>1900</v>
      </c>
      <c r="W28" s="281">
        <v>1200</v>
      </c>
      <c r="X28" s="201">
        <v>1</v>
      </c>
      <c r="Y28" s="249">
        <v>3000</v>
      </c>
      <c r="Z28" s="96">
        <v>450</v>
      </c>
      <c r="AA28" s="281">
        <v>3000</v>
      </c>
      <c r="AB28" s="201">
        <v>5</v>
      </c>
      <c r="AC28" s="285">
        <v>3000</v>
      </c>
      <c r="AD28" s="96">
        <v>300</v>
      </c>
      <c r="AE28" s="281">
        <v>5700</v>
      </c>
      <c r="AF28" s="201">
        <v>5</v>
      </c>
      <c r="AG28" s="285">
        <v>3000</v>
      </c>
      <c r="AH28" s="96">
        <v>3200</v>
      </c>
      <c r="AI28" s="281">
        <v>5500</v>
      </c>
      <c r="AJ28" s="201">
        <v>3</v>
      </c>
      <c r="AK28" s="285"/>
      <c r="AL28" s="96">
        <v>750</v>
      </c>
      <c r="AM28" s="281">
        <v>4000</v>
      </c>
      <c r="AN28" s="201">
        <v>5</v>
      </c>
      <c r="AO28" s="285"/>
      <c r="AP28" s="96">
        <v>750</v>
      </c>
      <c r="AQ28" s="281">
        <v>3250</v>
      </c>
      <c r="AR28" s="201">
        <v>5</v>
      </c>
      <c r="AS28" s="285">
        <v>1500</v>
      </c>
      <c r="AT28" s="96"/>
      <c r="AU28" s="281">
        <v>4000</v>
      </c>
      <c r="AV28" s="201">
        <v>5</v>
      </c>
      <c r="AW28" s="285">
        <v>1500</v>
      </c>
      <c r="AX28" s="96">
        <v>750</v>
      </c>
      <c r="AY28" s="281">
        <v>4000</v>
      </c>
      <c r="AZ28" s="201">
        <v>5</v>
      </c>
      <c r="BA28" s="285">
        <v>1500</v>
      </c>
      <c r="BB28" s="96">
        <v>750</v>
      </c>
      <c r="BC28" s="281">
        <v>750</v>
      </c>
      <c r="BD28" s="201">
        <v>2</v>
      </c>
      <c r="BE28" s="285">
        <v>750</v>
      </c>
      <c r="BF28" s="96">
        <v>1500</v>
      </c>
      <c r="BG28" s="281">
        <v>4000</v>
      </c>
      <c r="BH28" s="201">
        <v>5</v>
      </c>
      <c r="BI28" s="285"/>
      <c r="BJ28" s="96">
        <v>750</v>
      </c>
      <c r="BK28" s="281">
        <v>2500</v>
      </c>
      <c r="BL28" s="201">
        <v>3</v>
      </c>
      <c r="BM28" s="285">
        <v>750</v>
      </c>
      <c r="BN28" s="96">
        <v>2250</v>
      </c>
      <c r="BO28" s="281">
        <v>1000</v>
      </c>
      <c r="BP28" s="201">
        <v>1</v>
      </c>
      <c r="BQ28" s="285">
        <v>750</v>
      </c>
      <c r="BR28" s="96"/>
      <c r="BS28" s="281">
        <v>1750</v>
      </c>
      <c r="BT28" s="201">
        <v>5</v>
      </c>
      <c r="BU28" s="285">
        <v>2250</v>
      </c>
      <c r="BV28" s="96">
        <v>2250</v>
      </c>
      <c r="BW28" s="281">
        <v>1000</v>
      </c>
      <c r="BX28" s="201">
        <v>1</v>
      </c>
      <c r="BY28" s="285">
        <v>2250</v>
      </c>
      <c r="BZ28" s="96"/>
      <c r="CA28" s="281">
        <v>2500</v>
      </c>
      <c r="CB28" s="201">
        <v>5</v>
      </c>
      <c r="CC28" s="285">
        <v>750</v>
      </c>
      <c r="CD28" s="96">
        <v>2250</v>
      </c>
      <c r="CE28" s="281">
        <v>250</v>
      </c>
      <c r="CF28" s="201">
        <v>1</v>
      </c>
    </row>
    <row r="29" spans="1:84" ht="18" thickBot="1" x14ac:dyDescent="0.5">
      <c r="A29" s="231"/>
      <c r="B29" s="263"/>
      <c r="C29" s="264"/>
      <c r="D29" s="50" t="s">
        <v>58</v>
      </c>
      <c r="E29" s="260"/>
      <c r="F29" s="51"/>
      <c r="G29" s="293"/>
      <c r="H29" s="204"/>
      <c r="I29" s="294"/>
      <c r="J29" s="51">
        <v>750</v>
      </c>
      <c r="K29" s="292"/>
      <c r="L29" s="204"/>
      <c r="M29" s="260"/>
      <c r="N29" s="51">
        <v>750</v>
      </c>
      <c r="O29" s="292"/>
      <c r="P29" s="204"/>
      <c r="Q29" s="260"/>
      <c r="R29" s="51"/>
      <c r="S29" s="292"/>
      <c r="T29" s="204"/>
      <c r="U29" s="291"/>
      <c r="V29" s="51">
        <v>750</v>
      </c>
      <c r="W29" s="292"/>
      <c r="X29" s="204"/>
      <c r="Y29" s="262"/>
      <c r="Z29" s="101">
        <v>750</v>
      </c>
      <c r="AA29" s="292"/>
      <c r="AB29" s="204"/>
      <c r="AC29" s="295"/>
      <c r="AD29" s="101"/>
      <c r="AE29" s="292"/>
      <c r="AF29" s="204"/>
      <c r="AG29" s="295"/>
      <c r="AH29" s="101"/>
      <c r="AI29" s="292"/>
      <c r="AJ29" s="204"/>
      <c r="AK29" s="295"/>
      <c r="AL29" s="101">
        <v>750</v>
      </c>
      <c r="AM29" s="292"/>
      <c r="AN29" s="204"/>
      <c r="AO29" s="295"/>
      <c r="AP29" s="101"/>
      <c r="AQ29" s="292"/>
      <c r="AR29" s="204"/>
      <c r="AS29" s="295"/>
      <c r="AT29" s="101">
        <v>750</v>
      </c>
      <c r="AU29" s="292"/>
      <c r="AV29" s="204"/>
      <c r="AW29" s="295"/>
      <c r="AX29" s="101">
        <v>750</v>
      </c>
      <c r="AY29" s="292"/>
      <c r="AZ29" s="204"/>
      <c r="BA29" s="295"/>
      <c r="BB29" s="101"/>
      <c r="BC29" s="292"/>
      <c r="BD29" s="204"/>
      <c r="BE29" s="295"/>
      <c r="BF29" s="101"/>
      <c r="BG29" s="292"/>
      <c r="BH29" s="204"/>
      <c r="BI29" s="295"/>
      <c r="BJ29" s="101">
        <v>750</v>
      </c>
      <c r="BK29" s="292"/>
      <c r="BL29" s="204"/>
      <c r="BM29" s="295"/>
      <c r="BN29" s="101"/>
      <c r="BO29" s="292"/>
      <c r="BP29" s="204"/>
      <c r="BQ29" s="295"/>
      <c r="BR29" s="101"/>
      <c r="BS29" s="292"/>
      <c r="BT29" s="204"/>
      <c r="BU29" s="295"/>
      <c r="BV29" s="101">
        <v>750</v>
      </c>
      <c r="BW29" s="292"/>
      <c r="BX29" s="204"/>
      <c r="BY29" s="295"/>
      <c r="BZ29" s="101">
        <v>750</v>
      </c>
      <c r="CA29" s="292"/>
      <c r="CB29" s="204"/>
      <c r="CC29" s="295"/>
      <c r="CD29" s="101">
        <v>750</v>
      </c>
      <c r="CE29" s="292"/>
      <c r="CF29" s="204"/>
    </row>
    <row r="30" spans="1:84" x14ac:dyDescent="0.45">
      <c r="A30" s="82">
        <v>24</v>
      </c>
      <c r="B30" s="116" t="s">
        <v>66</v>
      </c>
      <c r="C30" s="117" t="s">
        <v>97</v>
      </c>
      <c r="D30" s="46"/>
      <c r="E30" s="52">
        <v>280</v>
      </c>
      <c r="F30" s="47"/>
      <c r="G30" s="187">
        <v>400</v>
      </c>
      <c r="H30" s="205">
        <v>5</v>
      </c>
      <c r="I30" s="192"/>
      <c r="J30" s="47">
        <v>160</v>
      </c>
      <c r="K30" s="187">
        <v>200</v>
      </c>
      <c r="L30" s="205">
        <v>2</v>
      </c>
      <c r="M30" s="52">
        <v>840</v>
      </c>
      <c r="N30" s="47">
        <v>60</v>
      </c>
      <c r="O30" s="187">
        <v>980</v>
      </c>
      <c r="P30" s="205">
        <v>5</v>
      </c>
      <c r="Q30" s="52"/>
      <c r="R30" s="47">
        <v>240</v>
      </c>
      <c r="S30" s="187">
        <v>740</v>
      </c>
      <c r="T30" s="205">
        <v>5</v>
      </c>
      <c r="U30" s="52"/>
      <c r="V30" s="47">
        <v>220</v>
      </c>
      <c r="W30" s="187">
        <v>520</v>
      </c>
      <c r="X30" s="205">
        <v>4</v>
      </c>
      <c r="Y30" s="93">
        <v>300</v>
      </c>
      <c r="Z30" s="95"/>
      <c r="AA30" s="187">
        <v>820</v>
      </c>
      <c r="AB30" s="205">
        <v>5</v>
      </c>
      <c r="AC30" s="212"/>
      <c r="AD30" s="95"/>
      <c r="AE30" s="187">
        <v>820</v>
      </c>
      <c r="AF30" s="205">
        <v>5</v>
      </c>
      <c r="AG30" s="212">
        <v>560</v>
      </c>
      <c r="AH30" s="95">
        <v>40</v>
      </c>
      <c r="AI30" s="187">
        <v>1380</v>
      </c>
      <c r="AJ30" s="205">
        <v>5</v>
      </c>
      <c r="AK30" s="212"/>
      <c r="AL30" s="95">
        <v>100</v>
      </c>
      <c r="AM30" s="187">
        <v>1280</v>
      </c>
      <c r="AN30" s="205">
        <v>5</v>
      </c>
      <c r="AO30" s="212"/>
      <c r="AP30" s="95"/>
      <c r="AQ30" s="187">
        <v>1280</v>
      </c>
      <c r="AR30" s="205">
        <v>5</v>
      </c>
      <c r="AS30" s="212"/>
      <c r="AT30" s="95"/>
      <c r="AU30" s="187">
        <v>1280</v>
      </c>
      <c r="AV30" s="205">
        <v>5</v>
      </c>
      <c r="AW30" s="212"/>
      <c r="AX30" s="95"/>
      <c r="AY30" s="187">
        <v>1280</v>
      </c>
      <c r="AZ30" s="205">
        <v>5</v>
      </c>
      <c r="BA30" s="192" t="s">
        <v>124</v>
      </c>
      <c r="BB30" s="95">
        <v>60</v>
      </c>
      <c r="BC30" s="187">
        <v>1220</v>
      </c>
      <c r="BD30" s="205">
        <v>5</v>
      </c>
      <c r="BE30" s="192" t="s">
        <v>124</v>
      </c>
      <c r="BF30" s="95">
        <v>280</v>
      </c>
      <c r="BG30" s="187">
        <v>940</v>
      </c>
      <c r="BH30" s="205">
        <v>5</v>
      </c>
      <c r="BI30" s="218"/>
      <c r="BJ30" s="95"/>
      <c r="BK30" s="187">
        <v>920</v>
      </c>
      <c r="BL30" s="205">
        <v>5</v>
      </c>
      <c r="BM30" s="218"/>
      <c r="BN30" s="95">
        <v>300</v>
      </c>
      <c r="BO30" s="187">
        <v>620</v>
      </c>
      <c r="BP30" s="205">
        <v>4</v>
      </c>
      <c r="BQ30" s="218"/>
      <c r="BR30" s="95"/>
      <c r="BS30" s="187">
        <v>620</v>
      </c>
      <c r="BT30" s="205">
        <v>5</v>
      </c>
      <c r="BU30" s="218"/>
      <c r="BV30" s="95">
        <v>280</v>
      </c>
      <c r="BW30" s="187">
        <v>340</v>
      </c>
      <c r="BX30" s="205">
        <v>2</v>
      </c>
      <c r="BY30" s="218"/>
      <c r="BZ30" s="95"/>
      <c r="CA30" s="187">
        <v>320</v>
      </c>
      <c r="CB30" s="205">
        <v>5</v>
      </c>
      <c r="CC30" s="218"/>
      <c r="CD30" s="95"/>
      <c r="CE30" s="187">
        <v>60</v>
      </c>
      <c r="CF30" s="205">
        <v>5</v>
      </c>
    </row>
    <row r="31" spans="1:84" x14ac:dyDescent="0.45">
      <c r="A31" s="82">
        <v>25</v>
      </c>
      <c r="B31" s="85" t="s">
        <v>66</v>
      </c>
      <c r="C31" s="86" t="s">
        <v>98</v>
      </c>
      <c r="D31" s="27"/>
      <c r="E31" s="16">
        <v>560</v>
      </c>
      <c r="F31" s="18">
        <v>200</v>
      </c>
      <c r="G31" s="184">
        <v>1360</v>
      </c>
      <c r="H31" s="199">
        <v>5</v>
      </c>
      <c r="I31" s="190"/>
      <c r="J31" s="18">
        <v>200</v>
      </c>
      <c r="K31" s="184">
        <v>1160</v>
      </c>
      <c r="L31" s="199">
        <v>5</v>
      </c>
      <c r="M31" s="16"/>
      <c r="N31" s="18">
        <v>120</v>
      </c>
      <c r="O31" s="184">
        <v>1040</v>
      </c>
      <c r="P31" s="199">
        <v>5</v>
      </c>
      <c r="Q31" s="16"/>
      <c r="R31" s="18">
        <v>200</v>
      </c>
      <c r="S31" s="184">
        <v>840</v>
      </c>
      <c r="T31" s="199">
        <v>5</v>
      </c>
      <c r="U31" s="16"/>
      <c r="V31" s="18"/>
      <c r="W31" s="184">
        <v>840</v>
      </c>
      <c r="X31" s="199">
        <v>5</v>
      </c>
      <c r="Y31" s="89"/>
      <c r="Z31" s="96">
        <v>40</v>
      </c>
      <c r="AA31" s="184">
        <v>800</v>
      </c>
      <c r="AB31" s="199">
        <v>5</v>
      </c>
      <c r="AC31" s="209"/>
      <c r="AD31" s="96">
        <v>40</v>
      </c>
      <c r="AE31" s="184">
        <v>760</v>
      </c>
      <c r="AF31" s="199">
        <v>5</v>
      </c>
      <c r="AG31" s="209"/>
      <c r="AH31" s="96"/>
      <c r="AI31" s="184">
        <v>720</v>
      </c>
      <c r="AJ31" s="199">
        <v>5</v>
      </c>
      <c r="AK31" s="209">
        <v>1120</v>
      </c>
      <c r="AL31" s="96">
        <v>460</v>
      </c>
      <c r="AM31" s="184">
        <v>1380</v>
      </c>
      <c r="AN31" s="199">
        <v>5</v>
      </c>
      <c r="AO31" s="209">
        <v>780</v>
      </c>
      <c r="AP31" s="96">
        <v>800</v>
      </c>
      <c r="AQ31" s="184">
        <v>1360</v>
      </c>
      <c r="AR31" s="199">
        <v>4</v>
      </c>
      <c r="AS31" s="209"/>
      <c r="AT31" s="96">
        <v>200</v>
      </c>
      <c r="AU31" s="184">
        <v>1140</v>
      </c>
      <c r="AV31" s="199">
        <v>5</v>
      </c>
      <c r="AW31" s="209"/>
      <c r="AX31" s="96"/>
      <c r="AY31" s="184">
        <v>1140</v>
      </c>
      <c r="AZ31" s="199">
        <v>5</v>
      </c>
      <c r="BA31" s="217"/>
      <c r="BB31" s="96"/>
      <c r="BC31" s="184">
        <v>1140</v>
      </c>
      <c r="BD31" s="199">
        <v>5</v>
      </c>
      <c r="BE31" s="217"/>
      <c r="BF31" s="96"/>
      <c r="BG31" s="184">
        <v>1140</v>
      </c>
      <c r="BH31" s="199">
        <v>5</v>
      </c>
      <c r="BI31" s="217"/>
      <c r="BJ31" s="96"/>
      <c r="BK31" s="184">
        <v>1140</v>
      </c>
      <c r="BL31" s="199">
        <v>5</v>
      </c>
      <c r="BM31" s="217"/>
      <c r="BN31" s="96">
        <v>500</v>
      </c>
      <c r="BO31" s="184">
        <v>640</v>
      </c>
      <c r="BP31" s="199">
        <v>2</v>
      </c>
      <c r="BQ31" s="217"/>
      <c r="BR31" s="96"/>
      <c r="BS31" s="184">
        <v>640</v>
      </c>
      <c r="BT31" s="199">
        <v>5</v>
      </c>
      <c r="BU31" s="217"/>
      <c r="BV31" s="96"/>
      <c r="BW31" s="184">
        <v>640</v>
      </c>
      <c r="BX31" s="199">
        <v>5</v>
      </c>
      <c r="BY31" s="217"/>
      <c r="BZ31" s="96"/>
      <c r="CA31" s="184">
        <v>640</v>
      </c>
      <c r="CB31" s="199">
        <v>5</v>
      </c>
      <c r="CC31" s="217"/>
      <c r="CD31" s="96"/>
      <c r="CE31" s="184">
        <v>640</v>
      </c>
      <c r="CF31" s="199">
        <v>5</v>
      </c>
    </row>
    <row r="32" spans="1:84" x14ac:dyDescent="0.45">
      <c r="A32" s="82">
        <v>26</v>
      </c>
      <c r="B32" s="85" t="s">
        <v>66</v>
      </c>
      <c r="C32" s="86" t="s">
        <v>100</v>
      </c>
      <c r="D32" s="27"/>
      <c r="E32" s="16"/>
      <c r="F32" s="18">
        <v>60</v>
      </c>
      <c r="G32" s="184">
        <v>260</v>
      </c>
      <c r="H32" s="199">
        <v>5</v>
      </c>
      <c r="I32" s="190"/>
      <c r="J32" s="18">
        <v>20</v>
      </c>
      <c r="K32" s="184">
        <v>240</v>
      </c>
      <c r="L32" s="199">
        <v>5</v>
      </c>
      <c r="M32" s="16"/>
      <c r="N32" s="18">
        <v>40</v>
      </c>
      <c r="O32" s="184">
        <v>200</v>
      </c>
      <c r="P32" s="199">
        <v>5</v>
      </c>
      <c r="Q32" s="16"/>
      <c r="R32" s="18">
        <v>100</v>
      </c>
      <c r="S32" s="184">
        <v>100</v>
      </c>
      <c r="T32" s="199">
        <v>2</v>
      </c>
      <c r="U32" s="16"/>
      <c r="V32" s="18"/>
      <c r="W32" s="184">
        <v>100</v>
      </c>
      <c r="X32" s="199">
        <v>5</v>
      </c>
      <c r="Y32" s="89">
        <v>140</v>
      </c>
      <c r="Z32" s="96"/>
      <c r="AA32" s="184">
        <v>240</v>
      </c>
      <c r="AB32" s="199">
        <v>5</v>
      </c>
      <c r="AC32" s="209"/>
      <c r="AD32" s="96"/>
      <c r="AE32" s="184">
        <v>240</v>
      </c>
      <c r="AF32" s="199">
        <v>5</v>
      </c>
      <c r="AG32" s="209">
        <v>160</v>
      </c>
      <c r="AH32" s="96"/>
      <c r="AI32" s="184">
        <v>400</v>
      </c>
      <c r="AJ32" s="199">
        <v>5</v>
      </c>
      <c r="AK32" s="209"/>
      <c r="AL32" s="96">
        <v>80</v>
      </c>
      <c r="AM32" s="184">
        <v>320</v>
      </c>
      <c r="AN32" s="199">
        <v>5</v>
      </c>
      <c r="AO32" s="209"/>
      <c r="AP32" s="96"/>
      <c r="AQ32" s="184">
        <v>320</v>
      </c>
      <c r="AR32" s="199">
        <v>5</v>
      </c>
      <c r="AS32" s="209"/>
      <c r="AT32" s="96"/>
      <c r="AU32" s="184">
        <v>320</v>
      </c>
      <c r="AV32" s="199">
        <v>5</v>
      </c>
      <c r="AW32" s="209"/>
      <c r="AX32" s="96"/>
      <c r="AY32" s="184">
        <v>320</v>
      </c>
      <c r="AZ32" s="199">
        <v>5</v>
      </c>
      <c r="BA32" s="217"/>
      <c r="BB32" s="96"/>
      <c r="BC32" s="184">
        <v>320</v>
      </c>
      <c r="BD32" s="199">
        <v>5</v>
      </c>
      <c r="BE32" s="217"/>
      <c r="BF32" s="96"/>
      <c r="BG32" s="184">
        <v>320</v>
      </c>
      <c r="BH32" s="199">
        <v>5</v>
      </c>
      <c r="BI32" s="217"/>
      <c r="BJ32" s="96"/>
      <c r="BK32" s="184">
        <v>320</v>
      </c>
      <c r="BL32" s="199">
        <v>5</v>
      </c>
      <c r="BM32" s="217"/>
      <c r="BN32" s="96"/>
      <c r="BO32" s="184">
        <v>320</v>
      </c>
      <c r="BP32" s="199">
        <v>5</v>
      </c>
      <c r="BQ32" s="217"/>
      <c r="BR32" s="96"/>
      <c r="BS32" s="184">
        <v>320</v>
      </c>
      <c r="BT32" s="199">
        <v>5</v>
      </c>
      <c r="BU32" s="217"/>
      <c r="BV32" s="96"/>
      <c r="BW32" s="184">
        <v>320</v>
      </c>
      <c r="BX32" s="199">
        <v>5</v>
      </c>
      <c r="BY32" s="217"/>
      <c r="BZ32" s="96"/>
      <c r="CA32" s="184">
        <v>320</v>
      </c>
      <c r="CB32" s="199">
        <v>5</v>
      </c>
      <c r="CC32" s="217"/>
      <c r="CD32" s="96"/>
      <c r="CE32" s="184">
        <v>320</v>
      </c>
      <c r="CF32" s="199">
        <v>5</v>
      </c>
    </row>
    <row r="33" spans="1:84" x14ac:dyDescent="0.45">
      <c r="A33" s="238">
        <v>27</v>
      </c>
      <c r="B33" s="245" t="s">
        <v>66</v>
      </c>
      <c r="C33" s="246" t="s">
        <v>101</v>
      </c>
      <c r="D33" s="27" t="s">
        <v>57</v>
      </c>
      <c r="E33" s="247">
        <v>1120</v>
      </c>
      <c r="F33" s="18">
        <v>340</v>
      </c>
      <c r="G33" s="281">
        <v>2700</v>
      </c>
      <c r="H33" s="201">
        <v>5</v>
      </c>
      <c r="I33" s="282"/>
      <c r="J33" s="18">
        <v>200</v>
      </c>
      <c r="K33" s="281">
        <v>2140</v>
      </c>
      <c r="L33" s="201">
        <v>5</v>
      </c>
      <c r="M33" s="247"/>
      <c r="N33" s="18"/>
      <c r="O33" s="281">
        <v>1800</v>
      </c>
      <c r="P33" s="201">
        <v>5</v>
      </c>
      <c r="Q33" s="247">
        <v>1000</v>
      </c>
      <c r="R33" s="18">
        <v>540</v>
      </c>
      <c r="S33" s="281">
        <v>1940</v>
      </c>
      <c r="T33" s="201">
        <v>4</v>
      </c>
      <c r="U33" s="286"/>
      <c r="V33" s="18">
        <v>500</v>
      </c>
      <c r="W33" s="281">
        <v>1040</v>
      </c>
      <c r="X33" s="201">
        <v>2</v>
      </c>
      <c r="Y33" s="249"/>
      <c r="Z33" s="96">
        <v>180</v>
      </c>
      <c r="AA33" s="281">
        <v>840</v>
      </c>
      <c r="AB33" s="201">
        <v>5</v>
      </c>
      <c r="AC33" s="285">
        <v>1120</v>
      </c>
      <c r="AD33" s="96">
        <v>300</v>
      </c>
      <c r="AE33" s="281">
        <v>1400</v>
      </c>
      <c r="AF33" s="201">
        <v>5</v>
      </c>
      <c r="AG33" s="285">
        <v>1120</v>
      </c>
      <c r="AH33" s="96">
        <v>180</v>
      </c>
      <c r="AI33" s="281">
        <v>1940</v>
      </c>
      <c r="AJ33" s="201">
        <v>5</v>
      </c>
      <c r="AK33" s="285">
        <v>1120</v>
      </c>
      <c r="AL33" s="96">
        <v>300</v>
      </c>
      <c r="AM33" s="281">
        <v>2320</v>
      </c>
      <c r="AN33" s="201">
        <v>5</v>
      </c>
      <c r="AO33" s="285"/>
      <c r="AP33" s="96">
        <v>220</v>
      </c>
      <c r="AQ33" s="281">
        <v>2000</v>
      </c>
      <c r="AR33" s="201">
        <v>5</v>
      </c>
      <c r="AS33" s="285"/>
      <c r="AT33" s="96">
        <v>300</v>
      </c>
      <c r="AU33" s="281">
        <v>1200</v>
      </c>
      <c r="AV33" s="201">
        <v>3</v>
      </c>
      <c r="AW33" s="285">
        <v>2000</v>
      </c>
      <c r="AX33" s="96">
        <v>500</v>
      </c>
      <c r="AY33" s="281">
        <v>2500</v>
      </c>
      <c r="AZ33" s="201">
        <v>5</v>
      </c>
      <c r="BA33" s="285"/>
      <c r="BB33" s="96">
        <v>200</v>
      </c>
      <c r="BC33" s="281">
        <v>2100</v>
      </c>
      <c r="BD33" s="201">
        <v>5</v>
      </c>
      <c r="BE33" s="285">
        <v>280</v>
      </c>
      <c r="BF33" s="96">
        <v>540</v>
      </c>
      <c r="BG33" s="281">
        <v>1360</v>
      </c>
      <c r="BH33" s="201">
        <v>2</v>
      </c>
      <c r="BI33" s="285">
        <v>1120</v>
      </c>
      <c r="BJ33" s="96">
        <v>460</v>
      </c>
      <c r="BK33" s="281">
        <v>1380</v>
      </c>
      <c r="BL33" s="201">
        <v>2</v>
      </c>
      <c r="BM33" s="285">
        <v>1120</v>
      </c>
      <c r="BN33" s="96">
        <v>400</v>
      </c>
      <c r="BO33" s="281">
        <v>1900</v>
      </c>
      <c r="BP33" s="201">
        <v>5</v>
      </c>
      <c r="BQ33" s="285"/>
      <c r="BR33" s="96">
        <v>560</v>
      </c>
      <c r="BS33" s="281">
        <v>1080</v>
      </c>
      <c r="BT33" s="201">
        <v>2</v>
      </c>
      <c r="BU33" s="285">
        <v>840</v>
      </c>
      <c r="BV33" s="96">
        <v>340</v>
      </c>
      <c r="BW33" s="281">
        <v>1120</v>
      </c>
      <c r="BX33" s="201">
        <v>2</v>
      </c>
      <c r="BY33" s="285">
        <v>1120</v>
      </c>
      <c r="BZ33" s="96">
        <v>900</v>
      </c>
      <c r="CA33" s="281">
        <v>1000</v>
      </c>
      <c r="CB33" s="201">
        <v>1</v>
      </c>
      <c r="CC33" s="285"/>
      <c r="CD33" s="96"/>
      <c r="CE33" s="281">
        <v>540</v>
      </c>
      <c r="CF33" s="201">
        <v>5</v>
      </c>
    </row>
    <row r="34" spans="1:84" x14ac:dyDescent="0.45">
      <c r="A34" s="231"/>
      <c r="B34" s="233"/>
      <c r="C34" s="235"/>
      <c r="D34" s="27" t="s">
        <v>58</v>
      </c>
      <c r="E34" s="237"/>
      <c r="F34" s="18">
        <v>200</v>
      </c>
      <c r="G34" s="273"/>
      <c r="H34" s="198"/>
      <c r="I34" s="275"/>
      <c r="J34" s="18">
        <v>360</v>
      </c>
      <c r="K34" s="273"/>
      <c r="L34" s="198"/>
      <c r="M34" s="237"/>
      <c r="N34" s="18">
        <v>340</v>
      </c>
      <c r="O34" s="273"/>
      <c r="P34" s="198"/>
      <c r="Q34" s="237"/>
      <c r="R34" s="18">
        <v>320</v>
      </c>
      <c r="S34" s="273"/>
      <c r="T34" s="198"/>
      <c r="U34" s="284"/>
      <c r="V34" s="18">
        <v>400</v>
      </c>
      <c r="W34" s="273"/>
      <c r="X34" s="198"/>
      <c r="Y34" s="244"/>
      <c r="Z34" s="96">
        <v>20</v>
      </c>
      <c r="AA34" s="273"/>
      <c r="AB34" s="198"/>
      <c r="AC34" s="280"/>
      <c r="AD34" s="96">
        <v>260</v>
      </c>
      <c r="AE34" s="273"/>
      <c r="AF34" s="198"/>
      <c r="AG34" s="280"/>
      <c r="AH34" s="96">
        <v>400</v>
      </c>
      <c r="AI34" s="273"/>
      <c r="AJ34" s="198"/>
      <c r="AK34" s="280"/>
      <c r="AL34" s="96">
        <v>440</v>
      </c>
      <c r="AM34" s="273"/>
      <c r="AN34" s="198"/>
      <c r="AO34" s="280"/>
      <c r="AP34" s="96">
        <v>100</v>
      </c>
      <c r="AQ34" s="273"/>
      <c r="AR34" s="198"/>
      <c r="AS34" s="280"/>
      <c r="AT34" s="96">
        <v>500</v>
      </c>
      <c r="AU34" s="273"/>
      <c r="AV34" s="198"/>
      <c r="AW34" s="280"/>
      <c r="AX34" s="96">
        <v>200</v>
      </c>
      <c r="AY34" s="273"/>
      <c r="AZ34" s="198"/>
      <c r="BA34" s="280"/>
      <c r="BB34" s="96">
        <v>200</v>
      </c>
      <c r="BC34" s="273"/>
      <c r="BD34" s="198"/>
      <c r="BE34" s="280"/>
      <c r="BF34" s="96">
        <v>480</v>
      </c>
      <c r="BG34" s="273"/>
      <c r="BH34" s="198"/>
      <c r="BI34" s="280"/>
      <c r="BJ34" s="96">
        <v>640</v>
      </c>
      <c r="BK34" s="273"/>
      <c r="BL34" s="198"/>
      <c r="BM34" s="280"/>
      <c r="BN34" s="96">
        <v>200</v>
      </c>
      <c r="BO34" s="273"/>
      <c r="BP34" s="198"/>
      <c r="BQ34" s="280"/>
      <c r="BR34" s="96">
        <v>260</v>
      </c>
      <c r="BS34" s="273"/>
      <c r="BT34" s="198"/>
      <c r="BU34" s="280"/>
      <c r="BV34" s="96">
        <v>460</v>
      </c>
      <c r="BW34" s="273"/>
      <c r="BX34" s="198"/>
      <c r="BY34" s="280"/>
      <c r="BZ34" s="96">
        <v>340</v>
      </c>
      <c r="CA34" s="273"/>
      <c r="CB34" s="198"/>
      <c r="CC34" s="280"/>
      <c r="CD34" s="96"/>
      <c r="CE34" s="273"/>
      <c r="CF34" s="198"/>
    </row>
    <row r="35" spans="1:84" x14ac:dyDescent="0.45">
      <c r="A35" s="82">
        <v>28</v>
      </c>
      <c r="B35" s="61" t="s">
        <v>66</v>
      </c>
      <c r="C35" s="71" t="s">
        <v>102</v>
      </c>
      <c r="D35" s="27"/>
      <c r="E35" s="16"/>
      <c r="F35" s="18">
        <v>480</v>
      </c>
      <c r="G35" s="184">
        <v>1240</v>
      </c>
      <c r="H35" s="199">
        <v>5</v>
      </c>
      <c r="I35" s="190"/>
      <c r="J35" s="18">
        <v>160</v>
      </c>
      <c r="K35" s="184">
        <v>1080</v>
      </c>
      <c r="L35" s="199">
        <v>5</v>
      </c>
      <c r="M35" s="16"/>
      <c r="N35" s="18">
        <v>260</v>
      </c>
      <c r="O35" s="184">
        <v>820</v>
      </c>
      <c r="P35" s="199">
        <v>5</v>
      </c>
      <c r="Q35" s="16">
        <v>1200</v>
      </c>
      <c r="R35" s="18">
        <v>380</v>
      </c>
      <c r="S35" s="184">
        <v>1640</v>
      </c>
      <c r="T35" s="199">
        <v>5</v>
      </c>
      <c r="U35" s="16"/>
      <c r="V35" s="18">
        <v>640</v>
      </c>
      <c r="W35" s="184">
        <v>1000</v>
      </c>
      <c r="X35" s="199">
        <v>2</v>
      </c>
      <c r="Y35" s="89">
        <v>560</v>
      </c>
      <c r="Z35" s="96">
        <v>400</v>
      </c>
      <c r="AA35" s="184">
        <v>1160</v>
      </c>
      <c r="AB35" s="199">
        <v>5</v>
      </c>
      <c r="AC35" s="209"/>
      <c r="AD35" s="96">
        <v>480</v>
      </c>
      <c r="AE35" s="184">
        <v>680</v>
      </c>
      <c r="AF35" s="199">
        <v>2</v>
      </c>
      <c r="AG35" s="209">
        <v>840</v>
      </c>
      <c r="AH35" s="96">
        <v>200</v>
      </c>
      <c r="AI35" s="184">
        <v>1420</v>
      </c>
      <c r="AJ35" s="199">
        <v>5</v>
      </c>
      <c r="AK35" s="209">
        <v>400</v>
      </c>
      <c r="AL35" s="96">
        <v>380</v>
      </c>
      <c r="AM35" s="184">
        <v>1340</v>
      </c>
      <c r="AN35" s="199">
        <v>5</v>
      </c>
      <c r="AO35" s="209">
        <v>800</v>
      </c>
      <c r="AP35" s="96">
        <v>300</v>
      </c>
      <c r="AQ35" s="184">
        <v>1840</v>
      </c>
      <c r="AR35" s="199">
        <v>5</v>
      </c>
      <c r="AS35" s="209"/>
      <c r="AT35" s="96">
        <v>400</v>
      </c>
      <c r="AU35" s="184">
        <v>1440</v>
      </c>
      <c r="AV35" s="199">
        <v>5</v>
      </c>
      <c r="AW35" s="209"/>
      <c r="AX35" s="96">
        <v>580</v>
      </c>
      <c r="AY35" s="184">
        <v>860</v>
      </c>
      <c r="AZ35" s="199">
        <v>2</v>
      </c>
      <c r="BA35" s="209"/>
      <c r="BB35" s="96">
        <v>200</v>
      </c>
      <c r="BC35" s="184">
        <v>660</v>
      </c>
      <c r="BD35" s="199">
        <v>5</v>
      </c>
      <c r="BE35" s="209">
        <v>1400</v>
      </c>
      <c r="BF35" s="96">
        <v>480</v>
      </c>
      <c r="BG35" s="184">
        <v>1580</v>
      </c>
      <c r="BH35" s="199">
        <v>5</v>
      </c>
      <c r="BI35" s="209"/>
      <c r="BJ35" s="96">
        <v>660</v>
      </c>
      <c r="BK35" s="184">
        <v>920</v>
      </c>
      <c r="BL35" s="199">
        <v>2</v>
      </c>
      <c r="BM35" s="209">
        <v>1400</v>
      </c>
      <c r="BN35" s="96">
        <v>500</v>
      </c>
      <c r="BO35" s="184">
        <v>1620</v>
      </c>
      <c r="BP35" s="199">
        <v>5</v>
      </c>
      <c r="BQ35" s="209"/>
      <c r="BR35" s="96">
        <v>700</v>
      </c>
      <c r="BS35" s="184">
        <v>920</v>
      </c>
      <c r="BT35" s="199">
        <v>2</v>
      </c>
      <c r="BU35" s="209">
        <v>1120</v>
      </c>
      <c r="BV35" s="96">
        <v>380</v>
      </c>
      <c r="BW35" s="184">
        <v>1660</v>
      </c>
      <c r="BX35" s="199">
        <v>5</v>
      </c>
      <c r="BY35" s="209">
        <v>840</v>
      </c>
      <c r="BZ35" s="96">
        <v>760</v>
      </c>
      <c r="CA35" s="184">
        <v>1740</v>
      </c>
      <c r="CB35" s="199">
        <v>4</v>
      </c>
      <c r="CC35" s="209"/>
      <c r="CD35" s="96">
        <v>300</v>
      </c>
      <c r="CE35" s="184">
        <v>1440</v>
      </c>
      <c r="CF35" s="199">
        <v>5</v>
      </c>
    </row>
    <row r="36" spans="1:84" x14ac:dyDescent="0.45">
      <c r="A36" s="82">
        <v>29</v>
      </c>
      <c r="B36" s="85" t="s">
        <v>66</v>
      </c>
      <c r="C36" s="86" t="s">
        <v>103</v>
      </c>
      <c r="D36" s="27"/>
      <c r="E36" s="16">
        <v>100</v>
      </c>
      <c r="F36" s="18"/>
      <c r="G36" s="184">
        <v>220</v>
      </c>
      <c r="H36" s="199">
        <v>5</v>
      </c>
      <c r="I36" s="190"/>
      <c r="J36" s="18">
        <v>20</v>
      </c>
      <c r="K36" s="184">
        <v>200</v>
      </c>
      <c r="L36" s="199">
        <v>5</v>
      </c>
      <c r="M36" s="16"/>
      <c r="N36" s="18">
        <v>40</v>
      </c>
      <c r="O36" s="184">
        <v>160</v>
      </c>
      <c r="P36" s="199">
        <v>5</v>
      </c>
      <c r="Q36" s="16"/>
      <c r="R36" s="18">
        <v>80</v>
      </c>
      <c r="S36" s="184">
        <v>80</v>
      </c>
      <c r="T36" s="199">
        <v>2</v>
      </c>
      <c r="U36" s="16"/>
      <c r="V36" s="18"/>
      <c r="W36" s="184">
        <v>80</v>
      </c>
      <c r="X36" s="199">
        <v>5</v>
      </c>
      <c r="Y36" s="89">
        <v>80</v>
      </c>
      <c r="Z36" s="96"/>
      <c r="AA36" s="184">
        <v>160</v>
      </c>
      <c r="AB36" s="199">
        <v>5</v>
      </c>
      <c r="AC36" s="209"/>
      <c r="AD36" s="96"/>
      <c r="AE36" s="184">
        <v>160</v>
      </c>
      <c r="AF36" s="199">
        <v>5</v>
      </c>
      <c r="AG36" s="209"/>
      <c r="AH36" s="96"/>
      <c r="AI36" s="184">
        <v>160</v>
      </c>
      <c r="AJ36" s="199">
        <v>5</v>
      </c>
      <c r="AK36" s="209"/>
      <c r="AL36" s="96">
        <v>20</v>
      </c>
      <c r="AM36" s="184">
        <v>140</v>
      </c>
      <c r="AN36" s="199">
        <v>5</v>
      </c>
      <c r="AO36" s="209"/>
      <c r="AP36" s="96"/>
      <c r="AQ36" s="184">
        <v>140</v>
      </c>
      <c r="AR36" s="199">
        <v>5</v>
      </c>
      <c r="AS36" s="209"/>
      <c r="AT36" s="96"/>
      <c r="AU36" s="184">
        <v>140</v>
      </c>
      <c r="AV36" s="199">
        <v>5</v>
      </c>
      <c r="AW36" s="209"/>
      <c r="AX36" s="96"/>
      <c r="AY36" s="184">
        <v>140</v>
      </c>
      <c r="AZ36" s="199">
        <v>5</v>
      </c>
      <c r="BA36" s="217"/>
      <c r="BB36" s="96"/>
      <c r="BC36" s="184">
        <v>140</v>
      </c>
      <c r="BD36" s="199">
        <v>5</v>
      </c>
      <c r="BE36" s="217"/>
      <c r="BF36" s="96"/>
      <c r="BG36" s="184">
        <v>140</v>
      </c>
      <c r="BH36" s="199">
        <v>5</v>
      </c>
      <c r="BI36" s="217"/>
      <c r="BJ36" s="96"/>
      <c r="BK36" s="184">
        <v>140</v>
      </c>
      <c r="BL36" s="199">
        <v>5</v>
      </c>
      <c r="BM36" s="217"/>
      <c r="BN36" s="96"/>
      <c r="BO36" s="184">
        <v>140</v>
      </c>
      <c r="BP36" s="199">
        <v>5</v>
      </c>
      <c r="BQ36" s="217"/>
      <c r="BR36" s="96">
        <v>60</v>
      </c>
      <c r="BS36" s="184">
        <v>80</v>
      </c>
      <c r="BT36" s="199">
        <v>2</v>
      </c>
      <c r="BU36" s="217"/>
      <c r="BV36" s="96"/>
      <c r="BW36" s="184">
        <v>80</v>
      </c>
      <c r="BX36" s="199">
        <v>5</v>
      </c>
      <c r="BY36" s="217"/>
      <c r="BZ36" s="96"/>
      <c r="CA36" s="184">
        <v>80</v>
      </c>
      <c r="CB36" s="199"/>
      <c r="CC36" s="217"/>
      <c r="CD36" s="96"/>
      <c r="CE36" s="184">
        <v>80</v>
      </c>
      <c r="CF36" s="199">
        <v>5</v>
      </c>
    </row>
    <row r="37" spans="1:84" x14ac:dyDescent="0.45">
      <c r="A37" s="238">
        <v>30</v>
      </c>
      <c r="B37" s="245" t="s">
        <v>66</v>
      </c>
      <c r="C37" s="246" t="s">
        <v>112</v>
      </c>
      <c r="D37" s="27" t="s">
        <v>57</v>
      </c>
      <c r="E37" s="247">
        <v>1400</v>
      </c>
      <c r="F37" s="18">
        <v>560</v>
      </c>
      <c r="G37" s="281">
        <v>3400</v>
      </c>
      <c r="H37" s="201">
        <v>5</v>
      </c>
      <c r="I37" s="282"/>
      <c r="J37" s="18">
        <v>960</v>
      </c>
      <c r="K37" s="281">
        <v>2320</v>
      </c>
      <c r="L37" s="201">
        <v>4</v>
      </c>
      <c r="M37" s="247"/>
      <c r="N37" s="18">
        <v>240</v>
      </c>
      <c r="O37" s="281">
        <v>1380</v>
      </c>
      <c r="P37" s="201">
        <v>3</v>
      </c>
      <c r="Q37" s="247">
        <v>1980</v>
      </c>
      <c r="R37" s="18">
        <v>660</v>
      </c>
      <c r="S37" s="281">
        <v>2400</v>
      </c>
      <c r="T37" s="201">
        <v>5</v>
      </c>
      <c r="U37" s="286"/>
      <c r="V37" s="18"/>
      <c r="W37" s="281">
        <v>240</v>
      </c>
      <c r="X37" s="201">
        <v>5</v>
      </c>
      <c r="Y37" s="249">
        <v>1400</v>
      </c>
      <c r="Z37" s="96">
        <v>480</v>
      </c>
      <c r="AA37" s="281">
        <v>520</v>
      </c>
      <c r="AB37" s="201">
        <v>1</v>
      </c>
      <c r="AC37" s="285">
        <v>500</v>
      </c>
      <c r="AD37" s="96">
        <v>760</v>
      </c>
      <c r="AE37" s="281">
        <v>160</v>
      </c>
      <c r="AF37" s="201">
        <v>1</v>
      </c>
      <c r="AG37" s="285">
        <v>2020</v>
      </c>
      <c r="AH37" s="96">
        <v>480</v>
      </c>
      <c r="AI37" s="281">
        <v>880</v>
      </c>
      <c r="AJ37" s="201">
        <v>1</v>
      </c>
      <c r="AK37" s="285">
        <v>2240</v>
      </c>
      <c r="AL37" s="96">
        <v>420</v>
      </c>
      <c r="AM37" s="281">
        <v>1740</v>
      </c>
      <c r="AN37" s="201">
        <v>5</v>
      </c>
      <c r="AO37" s="285">
        <v>3100</v>
      </c>
      <c r="AP37" s="96">
        <v>760</v>
      </c>
      <c r="AQ37" s="281">
        <v>2960</v>
      </c>
      <c r="AR37" s="201">
        <v>5</v>
      </c>
      <c r="AS37" s="285"/>
      <c r="AT37" s="96">
        <v>540</v>
      </c>
      <c r="AU37" s="281">
        <v>1580</v>
      </c>
      <c r="AV37" s="201">
        <v>4</v>
      </c>
      <c r="AW37" s="285">
        <v>1000</v>
      </c>
      <c r="AX37" s="96">
        <v>700</v>
      </c>
      <c r="AY37" s="281">
        <v>1680</v>
      </c>
      <c r="AZ37" s="201">
        <v>3</v>
      </c>
      <c r="BA37" s="285"/>
      <c r="BB37" s="96">
        <v>400</v>
      </c>
      <c r="BC37" s="281">
        <v>500</v>
      </c>
      <c r="BD37" s="201">
        <v>1</v>
      </c>
      <c r="BE37" s="285">
        <v>3020</v>
      </c>
      <c r="BF37" s="96">
        <v>580</v>
      </c>
      <c r="BG37" s="281">
        <v>2040</v>
      </c>
      <c r="BH37" s="201">
        <v>4</v>
      </c>
      <c r="BI37" s="285">
        <v>1380</v>
      </c>
      <c r="BJ37" s="96">
        <v>540</v>
      </c>
      <c r="BK37" s="281">
        <v>2060</v>
      </c>
      <c r="BL37" s="201">
        <v>5</v>
      </c>
      <c r="BM37" s="285">
        <v>560</v>
      </c>
      <c r="BN37" s="96">
        <v>520</v>
      </c>
      <c r="BO37" s="281">
        <v>840</v>
      </c>
      <c r="BP37" s="201">
        <v>1</v>
      </c>
      <c r="BQ37" s="285">
        <v>1120</v>
      </c>
      <c r="BR37" s="96">
        <v>380</v>
      </c>
      <c r="BS37" s="281">
        <v>1180</v>
      </c>
      <c r="BT37" s="201">
        <v>3</v>
      </c>
      <c r="BU37" s="285">
        <v>1120</v>
      </c>
      <c r="BV37" s="96">
        <v>680</v>
      </c>
      <c r="BW37" s="281">
        <v>1360</v>
      </c>
      <c r="BX37" s="201">
        <v>3</v>
      </c>
      <c r="BY37" s="285">
        <v>500</v>
      </c>
      <c r="BZ37" s="96">
        <v>1180</v>
      </c>
      <c r="CA37" s="281">
        <v>400</v>
      </c>
      <c r="CB37" s="201">
        <v>1</v>
      </c>
      <c r="CC37" s="285">
        <v>1120</v>
      </c>
      <c r="CD37" s="96"/>
      <c r="CE37" s="281">
        <v>320</v>
      </c>
      <c r="CF37" s="201">
        <v>5</v>
      </c>
    </row>
    <row r="38" spans="1:84" x14ac:dyDescent="0.45">
      <c r="A38" s="231"/>
      <c r="B38" s="233"/>
      <c r="C38" s="235"/>
      <c r="D38" s="27" t="s">
        <v>58</v>
      </c>
      <c r="E38" s="237"/>
      <c r="F38" s="18">
        <v>200</v>
      </c>
      <c r="G38" s="273"/>
      <c r="H38" s="198"/>
      <c r="I38" s="275"/>
      <c r="J38" s="18"/>
      <c r="K38" s="273"/>
      <c r="L38" s="198"/>
      <c r="M38" s="237"/>
      <c r="N38" s="18">
        <v>500</v>
      </c>
      <c r="O38" s="273"/>
      <c r="P38" s="198"/>
      <c r="Q38" s="237"/>
      <c r="R38" s="18">
        <v>200</v>
      </c>
      <c r="S38" s="273"/>
      <c r="T38" s="198"/>
      <c r="U38" s="284"/>
      <c r="V38" s="18"/>
      <c r="W38" s="273"/>
      <c r="X38" s="198"/>
      <c r="Y38" s="244"/>
      <c r="Z38" s="96">
        <v>140</v>
      </c>
      <c r="AA38" s="273"/>
      <c r="AB38" s="198"/>
      <c r="AC38" s="280"/>
      <c r="AD38" s="96"/>
      <c r="AE38" s="273"/>
      <c r="AF38" s="198"/>
      <c r="AG38" s="280"/>
      <c r="AH38" s="96">
        <v>520</v>
      </c>
      <c r="AI38" s="273"/>
      <c r="AJ38" s="198"/>
      <c r="AK38" s="280"/>
      <c r="AL38" s="96">
        <v>60</v>
      </c>
      <c r="AM38" s="273"/>
      <c r="AN38" s="198"/>
      <c r="AO38" s="280"/>
      <c r="AP38" s="96">
        <v>80</v>
      </c>
      <c r="AQ38" s="273"/>
      <c r="AR38" s="198"/>
      <c r="AS38" s="280"/>
      <c r="AT38" s="96">
        <v>180</v>
      </c>
      <c r="AU38" s="273"/>
      <c r="AV38" s="198"/>
      <c r="AW38" s="280"/>
      <c r="AX38" s="96">
        <v>180</v>
      </c>
      <c r="AY38" s="273"/>
      <c r="AZ38" s="198"/>
      <c r="BA38" s="280"/>
      <c r="BB38" s="96">
        <v>180</v>
      </c>
      <c r="BC38" s="273"/>
      <c r="BD38" s="198"/>
      <c r="BE38" s="280"/>
      <c r="BF38" s="96">
        <v>400</v>
      </c>
      <c r="BG38" s="273"/>
      <c r="BH38" s="198"/>
      <c r="BI38" s="280"/>
      <c r="BJ38" s="96">
        <v>220</v>
      </c>
      <c r="BK38" s="273"/>
      <c r="BL38" s="198"/>
      <c r="BM38" s="280"/>
      <c r="BN38" s="96">
        <v>340</v>
      </c>
      <c r="BO38" s="273"/>
      <c r="BP38" s="198"/>
      <c r="BQ38" s="280"/>
      <c r="BR38" s="96">
        <v>300</v>
      </c>
      <c r="BS38" s="273"/>
      <c r="BT38" s="198"/>
      <c r="BU38" s="280"/>
      <c r="BV38" s="96">
        <v>160</v>
      </c>
      <c r="BW38" s="273"/>
      <c r="BX38" s="198"/>
      <c r="BY38" s="280"/>
      <c r="BZ38" s="96">
        <v>280</v>
      </c>
      <c r="CA38" s="273"/>
      <c r="CB38" s="198"/>
      <c r="CC38" s="280"/>
      <c r="CD38" s="96"/>
      <c r="CE38" s="273"/>
      <c r="CF38" s="198"/>
    </row>
    <row r="39" spans="1:84" x14ac:dyDescent="0.45">
      <c r="A39" s="238">
        <v>31</v>
      </c>
      <c r="B39" s="245" t="s">
        <v>66</v>
      </c>
      <c r="C39" s="246" t="s">
        <v>113</v>
      </c>
      <c r="D39" s="27" t="s">
        <v>57</v>
      </c>
      <c r="E39" s="247">
        <v>1120</v>
      </c>
      <c r="F39" s="18">
        <v>100</v>
      </c>
      <c r="G39" s="281">
        <v>2380</v>
      </c>
      <c r="H39" s="201">
        <v>5</v>
      </c>
      <c r="I39" s="282"/>
      <c r="J39" s="18">
        <v>240</v>
      </c>
      <c r="K39" s="281">
        <v>2100</v>
      </c>
      <c r="L39" s="201">
        <v>5</v>
      </c>
      <c r="M39" s="247"/>
      <c r="N39" s="18"/>
      <c r="O39" s="281">
        <v>1540</v>
      </c>
      <c r="P39" s="201">
        <v>5</v>
      </c>
      <c r="Q39" s="247"/>
      <c r="R39" s="18">
        <v>100</v>
      </c>
      <c r="S39" s="281">
        <v>1240</v>
      </c>
      <c r="T39" s="201">
        <v>5</v>
      </c>
      <c r="U39" s="286"/>
      <c r="V39" s="18"/>
      <c r="W39" s="281">
        <v>740</v>
      </c>
      <c r="X39" s="201">
        <v>5</v>
      </c>
      <c r="Y39" s="249">
        <v>1120</v>
      </c>
      <c r="Z39" s="96">
        <v>160</v>
      </c>
      <c r="AA39" s="281">
        <v>1360</v>
      </c>
      <c r="AB39" s="201">
        <v>5</v>
      </c>
      <c r="AC39" s="285"/>
      <c r="AD39" s="96"/>
      <c r="AE39" s="281">
        <v>1360</v>
      </c>
      <c r="AF39" s="201">
        <v>5</v>
      </c>
      <c r="AG39" s="285">
        <v>1120</v>
      </c>
      <c r="AH39" s="96"/>
      <c r="AI39" s="281">
        <v>2180</v>
      </c>
      <c r="AJ39" s="201">
        <v>5</v>
      </c>
      <c r="AK39" s="285"/>
      <c r="AL39" s="96">
        <v>180</v>
      </c>
      <c r="AM39" s="281">
        <v>1940</v>
      </c>
      <c r="AN39" s="201">
        <v>5</v>
      </c>
      <c r="AO39" s="285"/>
      <c r="AP39" s="96"/>
      <c r="AQ39" s="281">
        <v>1860</v>
      </c>
      <c r="AR39" s="201">
        <v>5</v>
      </c>
      <c r="AS39" s="285"/>
      <c r="AT39" s="96">
        <v>160</v>
      </c>
      <c r="AU39" s="281">
        <v>1520</v>
      </c>
      <c r="AV39" s="201">
        <v>5</v>
      </c>
      <c r="AW39" s="285"/>
      <c r="AX39" s="96">
        <v>120</v>
      </c>
      <c r="AY39" s="281">
        <v>960</v>
      </c>
      <c r="AZ39" s="201">
        <v>5</v>
      </c>
      <c r="BA39" s="285"/>
      <c r="BB39" s="96"/>
      <c r="BC39" s="281">
        <v>800</v>
      </c>
      <c r="BD39" s="201">
        <v>5</v>
      </c>
      <c r="BE39" s="285"/>
      <c r="BF39" s="96">
        <v>60</v>
      </c>
      <c r="BG39" s="281">
        <v>520</v>
      </c>
      <c r="BH39" s="201">
        <v>3</v>
      </c>
      <c r="BI39" s="285">
        <v>1120</v>
      </c>
      <c r="BJ39" s="96">
        <v>240</v>
      </c>
      <c r="BK39" s="281">
        <v>1180</v>
      </c>
      <c r="BL39" s="201">
        <v>5</v>
      </c>
      <c r="BM39" s="285"/>
      <c r="BN39" s="96">
        <v>40</v>
      </c>
      <c r="BO39" s="281">
        <v>920</v>
      </c>
      <c r="BP39" s="201">
        <v>5</v>
      </c>
      <c r="BQ39" s="285">
        <v>500</v>
      </c>
      <c r="BR39" s="96">
        <v>100</v>
      </c>
      <c r="BS39" s="281">
        <v>1100</v>
      </c>
      <c r="BT39" s="201">
        <v>5</v>
      </c>
      <c r="BU39" s="285">
        <v>580</v>
      </c>
      <c r="BV39" s="96">
        <v>160</v>
      </c>
      <c r="BW39" s="281">
        <v>1360</v>
      </c>
      <c r="BX39" s="201">
        <v>5</v>
      </c>
      <c r="BY39" s="285">
        <v>560</v>
      </c>
      <c r="BZ39" s="96"/>
      <c r="CA39" s="281">
        <v>1740</v>
      </c>
      <c r="CB39" s="201">
        <v>5</v>
      </c>
      <c r="CC39" s="285"/>
      <c r="CD39" s="96"/>
      <c r="CE39" s="281">
        <v>1540</v>
      </c>
      <c r="CF39" s="201">
        <v>5</v>
      </c>
    </row>
    <row r="40" spans="1:84" ht="18" thickBot="1" x14ac:dyDescent="0.5">
      <c r="A40" s="231"/>
      <c r="B40" s="266"/>
      <c r="C40" s="267"/>
      <c r="D40" s="30" t="s">
        <v>58</v>
      </c>
      <c r="E40" s="268"/>
      <c r="F40" s="20">
        <v>200</v>
      </c>
      <c r="G40" s="293"/>
      <c r="H40" s="206"/>
      <c r="I40" s="296"/>
      <c r="J40" s="20">
        <v>40</v>
      </c>
      <c r="K40" s="293"/>
      <c r="L40" s="206"/>
      <c r="M40" s="268"/>
      <c r="N40" s="20">
        <v>560</v>
      </c>
      <c r="O40" s="293"/>
      <c r="P40" s="206"/>
      <c r="Q40" s="268"/>
      <c r="R40" s="20">
        <v>100</v>
      </c>
      <c r="S40" s="293"/>
      <c r="T40" s="206"/>
      <c r="U40" s="291"/>
      <c r="V40" s="20"/>
      <c r="W40" s="293"/>
      <c r="X40" s="206"/>
      <c r="Y40" s="269"/>
      <c r="Z40" s="97">
        <v>240</v>
      </c>
      <c r="AA40" s="293"/>
      <c r="AB40" s="206"/>
      <c r="AC40" s="297"/>
      <c r="AD40" s="97"/>
      <c r="AE40" s="293"/>
      <c r="AF40" s="206"/>
      <c r="AG40" s="297"/>
      <c r="AH40" s="97">
        <v>300</v>
      </c>
      <c r="AI40" s="293"/>
      <c r="AJ40" s="206"/>
      <c r="AK40" s="297"/>
      <c r="AL40" s="97">
        <v>60</v>
      </c>
      <c r="AM40" s="293"/>
      <c r="AN40" s="206"/>
      <c r="AO40" s="297"/>
      <c r="AP40" s="97">
        <v>80</v>
      </c>
      <c r="AQ40" s="293"/>
      <c r="AR40" s="206"/>
      <c r="AS40" s="297"/>
      <c r="AT40" s="97">
        <v>180</v>
      </c>
      <c r="AU40" s="293"/>
      <c r="AV40" s="206"/>
      <c r="AW40" s="297"/>
      <c r="AX40" s="97">
        <v>140</v>
      </c>
      <c r="AY40" s="293"/>
      <c r="AZ40" s="206"/>
      <c r="BA40" s="297"/>
      <c r="BB40" s="97">
        <v>160</v>
      </c>
      <c r="BC40" s="293"/>
      <c r="BD40" s="206"/>
      <c r="BE40" s="297"/>
      <c r="BF40" s="97">
        <v>220</v>
      </c>
      <c r="BG40" s="293"/>
      <c r="BH40" s="206"/>
      <c r="BI40" s="297"/>
      <c r="BJ40" s="97">
        <v>220</v>
      </c>
      <c r="BK40" s="293"/>
      <c r="BL40" s="206"/>
      <c r="BM40" s="297"/>
      <c r="BN40" s="97">
        <v>220</v>
      </c>
      <c r="BO40" s="293"/>
      <c r="BP40" s="206"/>
      <c r="BQ40" s="297"/>
      <c r="BR40" s="97">
        <v>220</v>
      </c>
      <c r="BS40" s="293"/>
      <c r="BT40" s="206"/>
      <c r="BU40" s="297"/>
      <c r="BV40" s="97">
        <v>160</v>
      </c>
      <c r="BW40" s="293"/>
      <c r="BX40" s="206"/>
      <c r="BY40" s="297"/>
      <c r="BZ40" s="97">
        <v>180</v>
      </c>
      <c r="CA40" s="293"/>
      <c r="CB40" s="206"/>
      <c r="CC40" s="297"/>
      <c r="CD40" s="97"/>
      <c r="CE40" s="293"/>
      <c r="CF40" s="206"/>
    </row>
    <row r="41" spans="1:84" x14ac:dyDescent="0.45">
      <c r="A41" s="82">
        <v>32</v>
      </c>
      <c r="B41" s="104" t="s">
        <v>61</v>
      </c>
      <c r="C41" s="105" t="s">
        <v>62</v>
      </c>
      <c r="D41" s="42"/>
      <c r="E41" s="34"/>
      <c r="F41" s="43"/>
      <c r="G41" s="183">
        <v>600</v>
      </c>
      <c r="H41" s="198">
        <v>5</v>
      </c>
      <c r="I41" s="193"/>
      <c r="J41" s="43"/>
      <c r="K41" s="183">
        <v>600</v>
      </c>
      <c r="L41" s="198">
        <v>5</v>
      </c>
      <c r="M41" s="34"/>
      <c r="N41" s="43"/>
      <c r="O41" s="183">
        <v>600</v>
      </c>
      <c r="P41" s="198">
        <v>5</v>
      </c>
      <c r="Q41" s="34"/>
      <c r="R41" s="43">
        <v>600</v>
      </c>
      <c r="S41" s="183"/>
      <c r="T41" s="198">
        <v>1</v>
      </c>
      <c r="U41" s="34"/>
      <c r="V41" s="43"/>
      <c r="W41" s="183"/>
      <c r="X41" s="198"/>
      <c r="Y41" s="88"/>
      <c r="Z41" s="98"/>
      <c r="AA41" s="183"/>
      <c r="AB41" s="198"/>
      <c r="AC41" s="213"/>
      <c r="AD41" s="98"/>
      <c r="AE41" s="183"/>
      <c r="AF41" s="198"/>
      <c r="AG41" s="213">
        <v>300</v>
      </c>
      <c r="AH41" s="98"/>
      <c r="AI41" s="183">
        <v>300</v>
      </c>
      <c r="AJ41" s="198">
        <v>5</v>
      </c>
      <c r="AK41" s="213"/>
      <c r="AL41" s="98"/>
      <c r="AM41" s="183">
        <v>300</v>
      </c>
      <c r="AN41" s="198">
        <v>5</v>
      </c>
      <c r="AO41" s="213"/>
      <c r="AP41" s="98"/>
      <c r="AQ41" s="183">
        <v>300</v>
      </c>
      <c r="AR41" s="198">
        <v>5</v>
      </c>
      <c r="AS41" s="213"/>
      <c r="AT41" s="98">
        <v>300</v>
      </c>
      <c r="AU41" s="183"/>
      <c r="AV41" s="198">
        <v>1</v>
      </c>
      <c r="AW41" s="213"/>
      <c r="AX41" s="98"/>
      <c r="AY41" s="183"/>
      <c r="AZ41" s="198"/>
      <c r="BA41" s="213">
        <v>680</v>
      </c>
      <c r="BB41" s="98"/>
      <c r="BC41" s="183">
        <v>680</v>
      </c>
      <c r="BD41" s="198">
        <v>5</v>
      </c>
      <c r="BE41" s="213"/>
      <c r="BF41" s="98">
        <v>680</v>
      </c>
      <c r="BG41" s="183"/>
      <c r="BH41" s="198">
        <v>1</v>
      </c>
      <c r="BI41" s="213">
        <v>120</v>
      </c>
      <c r="BJ41" s="98"/>
      <c r="BK41" s="183">
        <v>120</v>
      </c>
      <c r="BL41" s="198">
        <v>5</v>
      </c>
      <c r="BM41" s="213">
        <v>800</v>
      </c>
      <c r="BN41" s="98">
        <v>120</v>
      </c>
      <c r="BO41" s="183">
        <v>800</v>
      </c>
      <c r="BP41" s="198">
        <v>5</v>
      </c>
      <c r="BQ41" s="213"/>
      <c r="BR41" s="98">
        <v>800</v>
      </c>
      <c r="BS41" s="183"/>
      <c r="BT41" s="198">
        <v>5</v>
      </c>
      <c r="BU41" s="213"/>
      <c r="BV41" s="98"/>
      <c r="BW41" s="183"/>
      <c r="BX41" s="198"/>
      <c r="BY41" s="213"/>
      <c r="BZ41" s="98"/>
      <c r="CA41" s="183"/>
      <c r="CB41" s="198"/>
      <c r="CC41" s="213"/>
      <c r="CD41" s="98"/>
      <c r="CE41" s="183"/>
      <c r="CF41" s="198"/>
    </row>
    <row r="42" spans="1:84" x14ac:dyDescent="0.45">
      <c r="A42" s="82">
        <v>33</v>
      </c>
      <c r="B42" s="61" t="s">
        <v>67</v>
      </c>
      <c r="C42" s="71" t="s">
        <v>104</v>
      </c>
      <c r="D42" s="27"/>
      <c r="E42" s="16"/>
      <c r="F42" s="18">
        <v>480</v>
      </c>
      <c r="G42" s="184">
        <v>4920</v>
      </c>
      <c r="H42" s="199">
        <v>5</v>
      </c>
      <c r="I42" s="190"/>
      <c r="J42" s="18">
        <v>1800</v>
      </c>
      <c r="K42" s="184">
        <v>3120</v>
      </c>
      <c r="L42" s="199">
        <v>3</v>
      </c>
      <c r="M42" s="16">
        <v>2700</v>
      </c>
      <c r="N42" s="18">
        <v>3300</v>
      </c>
      <c r="O42" s="184">
        <v>2520</v>
      </c>
      <c r="P42" s="199">
        <v>1</v>
      </c>
      <c r="Q42" s="16">
        <v>2700</v>
      </c>
      <c r="R42" s="18"/>
      <c r="S42" s="184">
        <v>5220</v>
      </c>
      <c r="T42" s="199">
        <v>5</v>
      </c>
      <c r="U42" s="16"/>
      <c r="V42" s="18"/>
      <c r="W42" s="184">
        <v>5220</v>
      </c>
      <c r="X42" s="199">
        <v>5</v>
      </c>
      <c r="Y42" s="89">
        <v>1500</v>
      </c>
      <c r="Z42" s="96">
        <v>2700</v>
      </c>
      <c r="AA42" s="184">
        <v>4020</v>
      </c>
      <c r="AB42" s="199">
        <v>2</v>
      </c>
      <c r="AC42" s="209"/>
      <c r="AD42" s="96"/>
      <c r="AE42" s="184">
        <v>4020</v>
      </c>
      <c r="AF42" s="199">
        <v>5</v>
      </c>
      <c r="AG42" s="209"/>
      <c r="AH42" s="96">
        <v>2940</v>
      </c>
      <c r="AI42" s="184">
        <v>2520</v>
      </c>
      <c r="AJ42" s="199">
        <v>2</v>
      </c>
      <c r="AK42" s="209">
        <v>5400</v>
      </c>
      <c r="AL42" s="96">
        <v>2520</v>
      </c>
      <c r="AM42" s="184">
        <v>3960</v>
      </c>
      <c r="AN42" s="199">
        <v>3</v>
      </c>
      <c r="AO42" s="209"/>
      <c r="AP42" s="96">
        <v>1080</v>
      </c>
      <c r="AQ42" s="184">
        <v>2880</v>
      </c>
      <c r="AR42" s="199">
        <v>5</v>
      </c>
      <c r="AS42" s="209">
        <v>8100</v>
      </c>
      <c r="AT42" s="96">
        <v>4260</v>
      </c>
      <c r="AU42" s="184">
        <v>6660</v>
      </c>
      <c r="AV42" s="199">
        <v>3</v>
      </c>
      <c r="AW42" s="209"/>
      <c r="AX42" s="96">
        <v>1260</v>
      </c>
      <c r="AY42" s="184">
        <v>5400</v>
      </c>
      <c r="AZ42" s="199">
        <v>5</v>
      </c>
      <c r="BA42" s="209">
        <v>5400</v>
      </c>
      <c r="BB42" s="96">
        <v>2280</v>
      </c>
      <c r="BC42" s="184">
        <v>8520</v>
      </c>
      <c r="BD42" s="199">
        <v>5</v>
      </c>
      <c r="BE42" s="209"/>
      <c r="BF42" s="96">
        <v>960</v>
      </c>
      <c r="BG42" s="184">
        <v>7560</v>
      </c>
      <c r="BH42" s="199">
        <v>5</v>
      </c>
      <c r="BI42" s="209"/>
      <c r="BJ42" s="96">
        <v>2160</v>
      </c>
      <c r="BK42" s="184">
        <v>5400</v>
      </c>
      <c r="BL42" s="199">
        <v>5</v>
      </c>
      <c r="BM42" s="209">
        <v>5400</v>
      </c>
      <c r="BN42" s="96">
        <v>5400</v>
      </c>
      <c r="BO42" s="184">
        <v>5400</v>
      </c>
      <c r="BP42" s="199">
        <v>1</v>
      </c>
      <c r="BQ42" s="209">
        <v>5400</v>
      </c>
      <c r="BR42" s="96">
        <v>1800</v>
      </c>
      <c r="BS42" s="184">
        <v>9000</v>
      </c>
      <c r="BT42" s="199">
        <v>5</v>
      </c>
      <c r="BU42" s="209">
        <v>5400</v>
      </c>
      <c r="BV42" s="96">
        <v>900</v>
      </c>
      <c r="BW42" s="184">
        <v>13500</v>
      </c>
      <c r="BX42" s="199">
        <v>5</v>
      </c>
      <c r="BY42" s="209"/>
      <c r="BZ42" s="96">
        <v>8100</v>
      </c>
      <c r="CA42" s="184">
        <v>5400</v>
      </c>
      <c r="CB42" s="199">
        <v>1</v>
      </c>
      <c r="CC42" s="209"/>
      <c r="CD42" s="96">
        <v>1320</v>
      </c>
      <c r="CE42" s="184">
        <v>4080</v>
      </c>
      <c r="CF42" s="199">
        <v>5</v>
      </c>
    </row>
    <row r="43" spans="1:84" x14ac:dyDescent="0.45">
      <c r="A43" s="179">
        <v>34</v>
      </c>
      <c r="B43" s="181" t="s">
        <v>67</v>
      </c>
      <c r="C43" s="180" t="s">
        <v>105</v>
      </c>
      <c r="D43" s="27" t="s">
        <v>57</v>
      </c>
      <c r="E43" s="33">
        <v>5400</v>
      </c>
      <c r="F43" s="18">
        <v>8280</v>
      </c>
      <c r="G43" s="186">
        <v>11760</v>
      </c>
      <c r="H43" s="201">
        <v>2</v>
      </c>
      <c r="I43" s="194">
        <v>5400</v>
      </c>
      <c r="J43" s="18">
        <v>7440</v>
      </c>
      <c r="K43" s="186">
        <v>9720</v>
      </c>
      <c r="L43" s="201">
        <v>2</v>
      </c>
      <c r="M43" s="33">
        <v>8100</v>
      </c>
      <c r="N43" s="18">
        <v>8640</v>
      </c>
      <c r="O43" s="186">
        <v>6480</v>
      </c>
      <c r="P43" s="201">
        <v>1</v>
      </c>
      <c r="Q43" s="33">
        <v>18900</v>
      </c>
      <c r="R43" s="18">
        <v>6480</v>
      </c>
      <c r="S43" s="186">
        <v>16200</v>
      </c>
      <c r="T43" s="201">
        <v>5</v>
      </c>
      <c r="U43" s="33">
        <v>8100</v>
      </c>
      <c r="V43" s="18">
        <v>14400</v>
      </c>
      <c r="W43" s="186">
        <v>9900</v>
      </c>
      <c r="X43" s="201">
        <v>1</v>
      </c>
      <c r="Y43" s="91">
        <v>8100</v>
      </c>
      <c r="Z43" s="96">
        <v>7380</v>
      </c>
      <c r="AA43" s="186">
        <v>10620</v>
      </c>
      <c r="AB43" s="201">
        <v>2</v>
      </c>
      <c r="AC43" s="214">
        <v>2700</v>
      </c>
      <c r="AD43" s="96">
        <v>7920</v>
      </c>
      <c r="AE43" s="186">
        <v>5700</v>
      </c>
      <c r="AF43" s="201">
        <v>1</v>
      </c>
      <c r="AG43" s="214">
        <v>8100</v>
      </c>
      <c r="AH43" s="96">
        <v>6300</v>
      </c>
      <c r="AI43" s="186">
        <v>8280</v>
      </c>
      <c r="AJ43" s="201">
        <v>2</v>
      </c>
      <c r="AK43" s="214">
        <v>13500</v>
      </c>
      <c r="AL43" s="96">
        <v>7170</v>
      </c>
      <c r="AM43" s="186">
        <v>13500</v>
      </c>
      <c r="AN43" s="201">
        <v>3</v>
      </c>
      <c r="AO43" s="214">
        <v>10800</v>
      </c>
      <c r="AP43" s="96">
        <v>9180</v>
      </c>
      <c r="AQ43" s="186">
        <v>15120</v>
      </c>
      <c r="AR43" s="201">
        <v>3</v>
      </c>
      <c r="AS43" s="214">
        <v>5400</v>
      </c>
      <c r="AT43" s="96">
        <v>4620</v>
      </c>
      <c r="AU43" s="186">
        <v>15900</v>
      </c>
      <c r="AV43" s="201">
        <v>5</v>
      </c>
      <c r="AW43" s="214">
        <v>5400</v>
      </c>
      <c r="AX43" s="96">
        <v>7440</v>
      </c>
      <c r="AY43" s="186">
        <v>11160</v>
      </c>
      <c r="AZ43" s="201">
        <v>3</v>
      </c>
      <c r="BA43" s="214">
        <v>8580</v>
      </c>
      <c r="BB43" s="96">
        <v>4260</v>
      </c>
      <c r="BC43" s="186">
        <v>15480</v>
      </c>
      <c r="BD43" s="201">
        <v>5</v>
      </c>
      <c r="BE43" s="214">
        <v>2700</v>
      </c>
      <c r="BF43" s="96">
        <v>7920</v>
      </c>
      <c r="BG43" s="186">
        <v>10260</v>
      </c>
      <c r="BH43" s="201">
        <v>2</v>
      </c>
      <c r="BI43" s="214">
        <v>10800</v>
      </c>
      <c r="BJ43" s="96">
        <v>10260</v>
      </c>
      <c r="BK43" s="186">
        <v>10800</v>
      </c>
      <c r="BL43" s="201">
        <v>2</v>
      </c>
      <c r="BM43" s="214">
        <v>10800</v>
      </c>
      <c r="BN43" s="96">
        <v>12420</v>
      </c>
      <c r="BO43" s="186">
        <v>9180</v>
      </c>
      <c r="BP43" s="201">
        <v>1</v>
      </c>
      <c r="BQ43" s="214">
        <v>8100</v>
      </c>
      <c r="BR43" s="96">
        <v>10440</v>
      </c>
      <c r="BS43" s="186">
        <v>6840</v>
      </c>
      <c r="BT43" s="201">
        <v>1</v>
      </c>
      <c r="BU43" s="214">
        <v>10800</v>
      </c>
      <c r="BV43" s="96">
        <v>8280</v>
      </c>
      <c r="BW43" s="186">
        <v>9360</v>
      </c>
      <c r="BX43" s="201">
        <v>2</v>
      </c>
      <c r="BY43" s="214">
        <v>13500</v>
      </c>
      <c r="BZ43" s="96">
        <v>3960</v>
      </c>
      <c r="CA43" s="186">
        <v>18900</v>
      </c>
      <c r="CB43" s="201">
        <v>5</v>
      </c>
      <c r="CC43" s="214">
        <v>2700</v>
      </c>
      <c r="CD43" s="96">
        <v>10080</v>
      </c>
      <c r="CE43" s="186">
        <v>11520</v>
      </c>
      <c r="CF43" s="201">
        <v>2</v>
      </c>
    </row>
    <row r="44" spans="1:84" ht="18" thickBot="1" x14ac:dyDescent="0.5">
      <c r="A44" s="82">
        <v>35</v>
      </c>
      <c r="B44" s="120" t="s">
        <v>68</v>
      </c>
      <c r="C44" s="121" t="s">
        <v>106</v>
      </c>
      <c r="D44" s="50"/>
      <c r="E44" s="33"/>
      <c r="F44" s="51"/>
      <c r="G44" s="186">
        <v>336</v>
      </c>
      <c r="H44" s="201">
        <v>1</v>
      </c>
      <c r="I44" s="194"/>
      <c r="J44" s="51">
        <v>336</v>
      </c>
      <c r="K44" s="186"/>
      <c r="L44" s="201">
        <v>1</v>
      </c>
      <c r="M44" s="33"/>
      <c r="N44" s="51"/>
      <c r="O44" s="186"/>
      <c r="P44" s="201"/>
      <c r="Q44" s="33">
        <v>336</v>
      </c>
      <c r="R44" s="51">
        <v>336</v>
      </c>
      <c r="S44" s="186"/>
      <c r="T44" s="201">
        <v>1</v>
      </c>
      <c r="U44" s="33"/>
      <c r="V44" s="51"/>
      <c r="W44" s="186"/>
      <c r="X44" s="201"/>
      <c r="Y44" s="91">
        <v>336</v>
      </c>
      <c r="Z44" s="101">
        <v>120</v>
      </c>
      <c r="AA44" s="186">
        <v>216</v>
      </c>
      <c r="AB44" s="201">
        <v>3</v>
      </c>
      <c r="AC44" s="214"/>
      <c r="AD44" s="101"/>
      <c r="AE44" s="186">
        <v>216</v>
      </c>
      <c r="AF44" s="201">
        <v>5</v>
      </c>
      <c r="AG44" s="214"/>
      <c r="AH44" s="101"/>
      <c r="AI44" s="186">
        <v>216</v>
      </c>
      <c r="AJ44" s="201">
        <v>5</v>
      </c>
      <c r="AK44" s="214"/>
      <c r="AL44" s="101"/>
      <c r="AM44" s="186">
        <v>216</v>
      </c>
      <c r="AN44" s="201">
        <v>5</v>
      </c>
      <c r="AO44" s="214"/>
      <c r="AP44" s="101"/>
      <c r="AQ44" s="186">
        <v>216</v>
      </c>
      <c r="AR44" s="201">
        <v>5</v>
      </c>
      <c r="AS44" s="214"/>
      <c r="AT44" s="101"/>
      <c r="AU44" s="186">
        <v>216</v>
      </c>
      <c r="AV44" s="201">
        <v>5</v>
      </c>
      <c r="AW44" s="214"/>
      <c r="AX44" s="101">
        <v>180</v>
      </c>
      <c r="AY44" s="186">
        <v>36</v>
      </c>
      <c r="AZ44" s="201">
        <v>1</v>
      </c>
      <c r="BA44" s="214"/>
      <c r="BB44" s="101"/>
      <c r="BC44" s="186">
        <v>36</v>
      </c>
      <c r="BD44" s="201">
        <v>5</v>
      </c>
      <c r="BE44" s="214"/>
      <c r="BF44" s="101"/>
      <c r="BG44" s="186">
        <v>36</v>
      </c>
      <c r="BH44" s="201">
        <v>5</v>
      </c>
      <c r="BI44" s="214">
        <v>324</v>
      </c>
      <c r="BJ44" s="101">
        <v>360</v>
      </c>
      <c r="BK44" s="186"/>
      <c r="BL44" s="201"/>
      <c r="BM44" s="214"/>
      <c r="BN44" s="101"/>
      <c r="BO44" s="186"/>
      <c r="BP44" s="201"/>
      <c r="BQ44" s="214"/>
      <c r="BR44" s="101"/>
      <c r="BS44" s="186"/>
      <c r="BT44" s="201"/>
      <c r="BU44" s="214">
        <v>360</v>
      </c>
      <c r="BV44" s="101">
        <v>360</v>
      </c>
      <c r="BW44" s="186"/>
      <c r="BX44" s="201"/>
      <c r="BY44" s="214">
        <v>360</v>
      </c>
      <c r="BZ44" s="101"/>
      <c r="CA44" s="186">
        <v>360</v>
      </c>
      <c r="CB44" s="201">
        <v>5</v>
      </c>
      <c r="CC44" s="214"/>
      <c r="CD44" s="101"/>
      <c r="CE44" s="186"/>
      <c r="CF44" s="201"/>
    </row>
    <row r="45" spans="1:84" ht="18" thickBot="1" x14ac:dyDescent="0.5">
      <c r="A45" s="84"/>
      <c r="B45" s="270" t="s">
        <v>52</v>
      </c>
      <c r="C45" s="271"/>
      <c r="D45" s="56"/>
      <c r="E45" s="58">
        <f>SUM(E4:E44)</f>
        <v>61352.5</v>
      </c>
      <c r="F45" s="57">
        <f>SUM(F4:F44)</f>
        <v>52467.5</v>
      </c>
      <c r="G45" s="188">
        <f>SUM(G4:G44)</f>
        <v>115796</v>
      </c>
      <c r="H45" s="207"/>
      <c r="I45" s="195">
        <f>SUM(I4:I44)</f>
        <v>47007.5</v>
      </c>
      <c r="J45" s="57">
        <f>SUM(J4:J44)</f>
        <v>65976</v>
      </c>
      <c r="K45" s="188">
        <f>SUM(K4:K44)</f>
        <v>96157.5</v>
      </c>
      <c r="L45" s="207"/>
      <c r="M45" s="58">
        <f>SUM(M4:M44)</f>
        <v>138020</v>
      </c>
      <c r="N45" s="57">
        <f>SUM(N4:N44)</f>
        <v>77780</v>
      </c>
      <c r="O45" s="188">
        <f>SUM(O4:O44)</f>
        <v>151707.5</v>
      </c>
      <c r="P45" s="207"/>
      <c r="Q45" s="58">
        <f>SUM(Q4:Q44)</f>
        <v>140296</v>
      </c>
      <c r="R45" s="57">
        <f>SUM(R4:R44)</f>
        <v>127956</v>
      </c>
      <c r="S45" s="188">
        <f>SUM(S4:S44)</f>
        <v>159702.5</v>
      </c>
      <c r="T45" s="207"/>
      <c r="U45" s="58">
        <f>SUM(U4:U44)</f>
        <v>133680</v>
      </c>
      <c r="V45" s="57">
        <f>SUM(V4:V44)</f>
        <v>135122.5</v>
      </c>
      <c r="W45" s="188">
        <f>SUM(W4:W44)</f>
        <v>155600.5</v>
      </c>
      <c r="X45" s="207"/>
      <c r="Y45" s="94">
        <f>SUM(Y4:Y44)</f>
        <v>141836</v>
      </c>
      <c r="Z45" s="102">
        <f>SUM(Z4:Z44)</f>
        <v>118200</v>
      </c>
      <c r="AA45" s="188">
        <f>SUM(AA4:AA44)</f>
        <v>179406</v>
      </c>
      <c r="AB45" s="207"/>
      <c r="AC45" s="215">
        <f>SUM(AC4:AC44)</f>
        <v>113210</v>
      </c>
      <c r="AD45" s="102">
        <f>SUM(AD4:AD44)</f>
        <v>107795</v>
      </c>
      <c r="AE45" s="188">
        <f>SUM(AE4:AE44)</f>
        <v>186621.5</v>
      </c>
      <c r="AF45" s="207"/>
      <c r="AG45" s="215">
        <f>SUM(AG4:AG44)</f>
        <v>134760</v>
      </c>
      <c r="AH45" s="102">
        <f>SUM(AH4:AH44)</f>
        <v>107152.5</v>
      </c>
      <c r="AI45" s="188">
        <f>SUM(AI4:AI44)</f>
        <v>214313.5</v>
      </c>
      <c r="AJ45" s="207"/>
      <c r="AK45" s="215">
        <f>SUM(AK4:AK44)</f>
        <v>121662.5</v>
      </c>
      <c r="AL45" s="102">
        <f>SUM(AL4:AL44)</f>
        <v>120822.5</v>
      </c>
      <c r="AM45" s="188">
        <f>SUM(AM4:AM44)</f>
        <v>205121</v>
      </c>
      <c r="AN45" s="207"/>
      <c r="AO45" s="215">
        <f>SUM(AO4:AO44)</f>
        <v>110490</v>
      </c>
      <c r="AP45" s="102">
        <f>SUM(AP4:AP44)</f>
        <v>131412.5</v>
      </c>
      <c r="AQ45" s="188">
        <f>SUM(AQ4:AQ44)</f>
        <v>178158.5</v>
      </c>
      <c r="AR45" s="207"/>
      <c r="AS45" s="215">
        <f>SUM(AS4:AS44)</f>
        <v>108337.5</v>
      </c>
      <c r="AT45" s="102">
        <f>SUM(AT4:AT44)</f>
        <v>122960</v>
      </c>
      <c r="AU45" s="188">
        <f>SUM(AU4:AU44)</f>
        <v>161796</v>
      </c>
      <c r="AV45" s="207"/>
      <c r="AW45" s="215">
        <f>SUM(AW4:AW44)</f>
        <v>114300</v>
      </c>
      <c r="AX45" s="102">
        <f>SUM(AX4:AX44)</f>
        <v>126277.5</v>
      </c>
      <c r="AY45" s="188">
        <f>SUM(AY4:AY44)</f>
        <v>144811</v>
      </c>
      <c r="AZ45" s="207"/>
      <c r="BA45" s="215">
        <f>SUM(BA4:BA44)</f>
        <v>146020</v>
      </c>
      <c r="BB45" s="102">
        <f>SUM(BB4:BB44)</f>
        <v>105925</v>
      </c>
      <c r="BC45" s="188">
        <f>SUM(BC4:BC44)</f>
        <v>180306</v>
      </c>
      <c r="BD45" s="207"/>
      <c r="BE45" s="215">
        <f>SUM(BE4:BE44)</f>
        <v>125450</v>
      </c>
      <c r="BF45" s="102">
        <f>SUM(BF4:BF44)</f>
        <v>123425</v>
      </c>
      <c r="BG45" s="188">
        <f>SUM(BG4:BG44)</f>
        <v>173678.5</v>
      </c>
      <c r="BH45" s="207"/>
      <c r="BI45" s="215">
        <f>SUM(BI4:BI44)</f>
        <v>141794</v>
      </c>
      <c r="BJ45" s="102">
        <f>SUM(BJ4:BJ44)</f>
        <v>167270</v>
      </c>
      <c r="BK45" s="188">
        <f>SUM(BK4:BK44)</f>
        <v>152837.5</v>
      </c>
      <c r="BL45" s="207"/>
      <c r="BM45" s="215">
        <f>SUM(BM4:BM44)</f>
        <v>127850</v>
      </c>
      <c r="BN45" s="102">
        <f>SUM(BN4:BN44)</f>
        <v>139412.5</v>
      </c>
      <c r="BO45" s="188">
        <f>SUM(BO4:BO44)</f>
        <v>139917.5</v>
      </c>
      <c r="BP45" s="207"/>
      <c r="BQ45" s="215">
        <f>SUM(BQ4:BQ44)</f>
        <v>177750</v>
      </c>
      <c r="BR45" s="102">
        <f>SUM(BR4:BR44)</f>
        <v>127760</v>
      </c>
      <c r="BS45" s="188">
        <f>SUM(BS4:BS44)</f>
        <v>187235</v>
      </c>
      <c r="BT45" s="207"/>
      <c r="BU45" s="215">
        <f>SUM(BU4:BU44)</f>
        <v>120635</v>
      </c>
      <c r="BV45" s="102">
        <f>SUM(BV4:BV44)</f>
        <v>118482.5</v>
      </c>
      <c r="BW45" s="188">
        <f>SUM(BW4:BW44)</f>
        <v>188238</v>
      </c>
      <c r="BX45" s="207"/>
      <c r="BY45" s="215">
        <f>SUM(BY4:BY44)</f>
        <v>160310</v>
      </c>
      <c r="BZ45" s="102">
        <f>SUM(BZ4:BZ44)</f>
        <v>140502.5</v>
      </c>
      <c r="CA45" s="188">
        <f>SUM(CA4:CA44)</f>
        <v>219635.5</v>
      </c>
      <c r="CB45" s="207"/>
      <c r="CC45" s="215">
        <f>SUM(CC4:CC44)</f>
        <v>51380</v>
      </c>
      <c r="CD45" s="102">
        <f>SUM(CD4:CD44)</f>
        <v>108380</v>
      </c>
      <c r="CE45" s="188">
        <f>SUM(CE4:CE44)</f>
        <v>156535.5</v>
      </c>
      <c r="CF45" s="207"/>
    </row>
    <row r="48" spans="1:84" x14ac:dyDescent="0.45">
      <c r="C48" s="80"/>
      <c r="D48" s="13" t="s">
        <v>107</v>
      </c>
    </row>
    <row r="49" spans="3:4" x14ac:dyDescent="0.45">
      <c r="C49" s="81"/>
      <c r="D49" s="13" t="s">
        <v>108</v>
      </c>
    </row>
  </sheetData>
  <mergeCells count="372">
    <mergeCell ref="BQ2:BT2"/>
    <mergeCell ref="BU2:BX2"/>
    <mergeCell ref="BY2:CB2"/>
    <mergeCell ref="CC2:CF2"/>
    <mergeCell ref="B45:C45"/>
    <mergeCell ref="E2:H2"/>
    <mergeCell ref="I2:L2"/>
    <mergeCell ref="M2:P2"/>
    <mergeCell ref="Q2:T2"/>
    <mergeCell ref="U2:X2"/>
    <mergeCell ref="Y2:AB2"/>
    <mergeCell ref="AC2:AF2"/>
    <mergeCell ref="AG2:AJ2"/>
    <mergeCell ref="CE39:CE40"/>
    <mergeCell ref="BS39:BS40"/>
    <mergeCell ref="BU39:BU40"/>
    <mergeCell ref="BW39:BW40"/>
    <mergeCell ref="BY39:BY40"/>
    <mergeCell ref="CA39:CA40"/>
    <mergeCell ref="CC39:CC40"/>
    <mergeCell ref="BG39:BG40"/>
    <mergeCell ref="BI39:BI40"/>
    <mergeCell ref="BK39:BK40"/>
    <mergeCell ref="BM39:BM40"/>
    <mergeCell ref="BO39:BO40"/>
    <mergeCell ref="BQ39:BQ40"/>
    <mergeCell ref="AU39:AU40"/>
    <mergeCell ref="AW39:AW40"/>
    <mergeCell ref="AY39:AY40"/>
    <mergeCell ref="BA39:BA40"/>
    <mergeCell ref="BC39:BC40"/>
    <mergeCell ref="BE39:BE40"/>
    <mergeCell ref="AI39:AI40"/>
    <mergeCell ref="AK39:AK40"/>
    <mergeCell ref="AM39:AM40"/>
    <mergeCell ref="AO39:AO40"/>
    <mergeCell ref="AQ39:AQ40"/>
    <mergeCell ref="AS39:AS40"/>
    <mergeCell ref="W39:W40"/>
    <mergeCell ref="Y39:Y40"/>
    <mergeCell ref="AA39:AA40"/>
    <mergeCell ref="AC39:AC40"/>
    <mergeCell ref="AE39:AE40"/>
    <mergeCell ref="AG39:AG40"/>
    <mergeCell ref="K39:K40"/>
    <mergeCell ref="M39:M40"/>
    <mergeCell ref="O39:O40"/>
    <mergeCell ref="Q39:Q40"/>
    <mergeCell ref="S39:S40"/>
    <mergeCell ref="U39:U40"/>
    <mergeCell ref="A39:A40"/>
    <mergeCell ref="B39:B40"/>
    <mergeCell ref="C39:C40"/>
    <mergeCell ref="E39:E40"/>
    <mergeCell ref="G39:G40"/>
    <mergeCell ref="I39:I40"/>
    <mergeCell ref="BY37:BY38"/>
    <mergeCell ref="CA37:CA38"/>
    <mergeCell ref="CC37:CC38"/>
    <mergeCell ref="CE37:CE38"/>
    <mergeCell ref="BM37:BM38"/>
    <mergeCell ref="BO37:BO38"/>
    <mergeCell ref="BQ37:BQ38"/>
    <mergeCell ref="BS37:BS38"/>
    <mergeCell ref="BU37:BU38"/>
    <mergeCell ref="BW37:BW38"/>
    <mergeCell ref="BA37:BA38"/>
    <mergeCell ref="BC37:BC38"/>
    <mergeCell ref="BE37:BE38"/>
    <mergeCell ref="BG37:BG38"/>
    <mergeCell ref="BI37:BI38"/>
    <mergeCell ref="BK37:BK38"/>
    <mergeCell ref="AO37:AO38"/>
    <mergeCell ref="AQ37:AQ38"/>
    <mergeCell ref="AS37:AS38"/>
    <mergeCell ref="AU37:AU38"/>
    <mergeCell ref="AW37:AW38"/>
    <mergeCell ref="AY37:AY38"/>
    <mergeCell ref="AC37:AC38"/>
    <mergeCell ref="AE37:AE38"/>
    <mergeCell ref="AG37:AG38"/>
    <mergeCell ref="AI37:AI38"/>
    <mergeCell ref="AK37:AK38"/>
    <mergeCell ref="AM37:AM38"/>
    <mergeCell ref="Q37:Q38"/>
    <mergeCell ref="S37:S38"/>
    <mergeCell ref="U37:U38"/>
    <mergeCell ref="W37:W38"/>
    <mergeCell ref="Y37:Y38"/>
    <mergeCell ref="AA37:AA38"/>
    <mergeCell ref="A37:A38"/>
    <mergeCell ref="B37:B38"/>
    <mergeCell ref="C37:C38"/>
    <mergeCell ref="E37:E38"/>
    <mergeCell ref="G37:G38"/>
    <mergeCell ref="I37:I38"/>
    <mergeCell ref="K37:K38"/>
    <mergeCell ref="M37:M38"/>
    <mergeCell ref="O37:O38"/>
    <mergeCell ref="CE33:CE34"/>
    <mergeCell ref="BS33:BS34"/>
    <mergeCell ref="BU33:BU34"/>
    <mergeCell ref="BW33:BW34"/>
    <mergeCell ref="BY33:BY34"/>
    <mergeCell ref="CA33:CA34"/>
    <mergeCell ref="CC33:CC34"/>
    <mergeCell ref="BG33:BG34"/>
    <mergeCell ref="BI33:BI34"/>
    <mergeCell ref="BK33:BK34"/>
    <mergeCell ref="BM33:BM34"/>
    <mergeCell ref="BO33:BO34"/>
    <mergeCell ref="BQ33:BQ34"/>
    <mergeCell ref="AU33:AU34"/>
    <mergeCell ref="AW33:AW34"/>
    <mergeCell ref="AY33:AY34"/>
    <mergeCell ref="BA33:BA34"/>
    <mergeCell ref="BC33:BC34"/>
    <mergeCell ref="BE33:BE34"/>
    <mergeCell ref="AI33:AI34"/>
    <mergeCell ref="AK33:AK34"/>
    <mergeCell ref="AM33:AM34"/>
    <mergeCell ref="AO33:AO34"/>
    <mergeCell ref="AQ33:AQ34"/>
    <mergeCell ref="AS33:AS34"/>
    <mergeCell ref="W33:W34"/>
    <mergeCell ref="Y33:Y34"/>
    <mergeCell ref="AA33:AA34"/>
    <mergeCell ref="AC33:AC34"/>
    <mergeCell ref="AE33:AE34"/>
    <mergeCell ref="AG33:AG34"/>
    <mergeCell ref="K33:K34"/>
    <mergeCell ref="M33:M34"/>
    <mergeCell ref="O33:O34"/>
    <mergeCell ref="Q33:Q34"/>
    <mergeCell ref="S33:S34"/>
    <mergeCell ref="U33:U34"/>
    <mergeCell ref="BK28:BK29"/>
    <mergeCell ref="AO28:AO29"/>
    <mergeCell ref="AQ28:AQ29"/>
    <mergeCell ref="AS28:AS29"/>
    <mergeCell ref="AU28:AU29"/>
    <mergeCell ref="AW28:AW29"/>
    <mergeCell ref="AY28:AY29"/>
    <mergeCell ref="AC28:AC29"/>
    <mergeCell ref="AE28:AE29"/>
    <mergeCell ref="AG28:AG29"/>
    <mergeCell ref="AI28:AI29"/>
    <mergeCell ref="AK28:AK29"/>
    <mergeCell ref="AM28:AM29"/>
    <mergeCell ref="Q28:Q29"/>
    <mergeCell ref="S28:S29"/>
    <mergeCell ref="A33:A34"/>
    <mergeCell ref="B33:B34"/>
    <mergeCell ref="C33:C34"/>
    <mergeCell ref="E33:E34"/>
    <mergeCell ref="G33:G34"/>
    <mergeCell ref="I33:I34"/>
    <mergeCell ref="BY28:BY29"/>
    <mergeCell ref="CA28:CA29"/>
    <mergeCell ref="CC28:CC29"/>
    <mergeCell ref="CE28:CE29"/>
    <mergeCell ref="BM28:BM29"/>
    <mergeCell ref="BO28:BO29"/>
    <mergeCell ref="BQ28:BQ29"/>
    <mergeCell ref="BS28:BS29"/>
    <mergeCell ref="BU28:BU29"/>
    <mergeCell ref="BW28:BW29"/>
    <mergeCell ref="BA28:BA29"/>
    <mergeCell ref="BC28:BC29"/>
    <mergeCell ref="BE28:BE29"/>
    <mergeCell ref="BG28:BG29"/>
    <mergeCell ref="BI28:BI29"/>
    <mergeCell ref="U28:U29"/>
    <mergeCell ref="W28:W29"/>
    <mergeCell ref="Y28:Y29"/>
    <mergeCell ref="AA28:AA29"/>
    <mergeCell ref="A28:A29"/>
    <mergeCell ref="B28:B29"/>
    <mergeCell ref="C28:C29"/>
    <mergeCell ref="E28:E29"/>
    <mergeCell ref="G28:G29"/>
    <mergeCell ref="I28:I29"/>
    <mergeCell ref="K28:K29"/>
    <mergeCell ref="M28:M29"/>
    <mergeCell ref="O28:O29"/>
    <mergeCell ref="CE18:CE19"/>
    <mergeCell ref="BS18:BS19"/>
    <mergeCell ref="BU18:BU19"/>
    <mergeCell ref="BW18:BW19"/>
    <mergeCell ref="BY18:BY19"/>
    <mergeCell ref="CA18:CA19"/>
    <mergeCell ref="CC18:CC19"/>
    <mergeCell ref="BG18:BG19"/>
    <mergeCell ref="BI18:BI19"/>
    <mergeCell ref="BK18:BK19"/>
    <mergeCell ref="BM18:BM19"/>
    <mergeCell ref="BO18:BO19"/>
    <mergeCell ref="BQ18:BQ19"/>
    <mergeCell ref="AU18:AU19"/>
    <mergeCell ref="AW18:AW19"/>
    <mergeCell ref="AY18:AY19"/>
    <mergeCell ref="BA18:BA19"/>
    <mergeCell ref="BC18:BC19"/>
    <mergeCell ref="BE18:BE19"/>
    <mergeCell ref="AI18:AI19"/>
    <mergeCell ref="AK18:AK19"/>
    <mergeCell ref="AM18:AM19"/>
    <mergeCell ref="AO18:AO19"/>
    <mergeCell ref="AQ18:AQ19"/>
    <mergeCell ref="AS18:AS19"/>
    <mergeCell ref="W18:W19"/>
    <mergeCell ref="Y18:Y19"/>
    <mergeCell ref="AA18:AA19"/>
    <mergeCell ref="AC18:AC19"/>
    <mergeCell ref="AE18:AE19"/>
    <mergeCell ref="AG18:AG19"/>
    <mergeCell ref="K18:K19"/>
    <mergeCell ref="M18:M19"/>
    <mergeCell ref="O18:O19"/>
    <mergeCell ref="Q18:Q19"/>
    <mergeCell ref="S18:S19"/>
    <mergeCell ref="U18:U19"/>
    <mergeCell ref="A18:A19"/>
    <mergeCell ref="B18:B19"/>
    <mergeCell ref="C18:C19"/>
    <mergeCell ref="E18:E19"/>
    <mergeCell ref="G18:G19"/>
    <mergeCell ref="I18:I19"/>
    <mergeCell ref="BU13:BU14"/>
    <mergeCell ref="BW13:BW14"/>
    <mergeCell ref="BY13:BY14"/>
    <mergeCell ref="CA13:CA14"/>
    <mergeCell ref="CC13:CC14"/>
    <mergeCell ref="CE13:CE14"/>
    <mergeCell ref="BI13:BI14"/>
    <mergeCell ref="BK13:BK14"/>
    <mergeCell ref="BM13:BM14"/>
    <mergeCell ref="BO13:BO14"/>
    <mergeCell ref="BQ13:BQ14"/>
    <mergeCell ref="BS13:BS14"/>
    <mergeCell ref="AW13:AW14"/>
    <mergeCell ref="AY13:AY14"/>
    <mergeCell ref="BA13:BA14"/>
    <mergeCell ref="BC13:BC14"/>
    <mergeCell ref="BE13:BE14"/>
    <mergeCell ref="BG13:BG14"/>
    <mergeCell ref="AK13:AK14"/>
    <mergeCell ref="AM13:AM14"/>
    <mergeCell ref="AO13:AO14"/>
    <mergeCell ref="AQ13:AQ14"/>
    <mergeCell ref="AS13:AS14"/>
    <mergeCell ref="AU13:AU14"/>
    <mergeCell ref="Y13:Y14"/>
    <mergeCell ref="AA13:AA14"/>
    <mergeCell ref="AC13:AC14"/>
    <mergeCell ref="AE13:AE14"/>
    <mergeCell ref="AG13:AG14"/>
    <mergeCell ref="AI13:AI14"/>
    <mergeCell ref="M13:M14"/>
    <mergeCell ref="O13:O14"/>
    <mergeCell ref="Q13:Q14"/>
    <mergeCell ref="S13:S14"/>
    <mergeCell ref="U13:U14"/>
    <mergeCell ref="W13:W14"/>
    <mergeCell ref="A13:A14"/>
    <mergeCell ref="B13:B14"/>
    <mergeCell ref="C13:C14"/>
    <mergeCell ref="E13:E14"/>
    <mergeCell ref="F13:F14"/>
    <mergeCell ref="G13:G14"/>
    <mergeCell ref="I13:I14"/>
    <mergeCell ref="J13:J14"/>
    <mergeCell ref="K13:K14"/>
    <mergeCell ref="CE10:CE11"/>
    <mergeCell ref="BS10:BS11"/>
    <mergeCell ref="BU10:BU11"/>
    <mergeCell ref="BW10:BW11"/>
    <mergeCell ref="BY10:BY11"/>
    <mergeCell ref="CA10:CA11"/>
    <mergeCell ref="CC10:CC11"/>
    <mergeCell ref="BG10:BG11"/>
    <mergeCell ref="BI10:BI11"/>
    <mergeCell ref="BK10:BK11"/>
    <mergeCell ref="BM10:BM11"/>
    <mergeCell ref="BO10:BO11"/>
    <mergeCell ref="BQ10:BQ11"/>
    <mergeCell ref="AU10:AU11"/>
    <mergeCell ref="AW10:AW11"/>
    <mergeCell ref="AY10:AY11"/>
    <mergeCell ref="BA10:BA11"/>
    <mergeCell ref="BC10:BC11"/>
    <mergeCell ref="BE10:BE11"/>
    <mergeCell ref="AI10:AI11"/>
    <mergeCell ref="AK10:AK11"/>
    <mergeCell ref="AM10:AM11"/>
    <mergeCell ref="AO10:AO11"/>
    <mergeCell ref="AQ10:AQ11"/>
    <mergeCell ref="AS10:AS11"/>
    <mergeCell ref="W10:W11"/>
    <mergeCell ref="Y10:Y11"/>
    <mergeCell ref="AA10:AA11"/>
    <mergeCell ref="AC10:AC11"/>
    <mergeCell ref="AE10:AE11"/>
    <mergeCell ref="AG10:AG11"/>
    <mergeCell ref="K10:K11"/>
    <mergeCell ref="M10:M11"/>
    <mergeCell ref="O10:O11"/>
    <mergeCell ref="Q10:Q11"/>
    <mergeCell ref="S10:S11"/>
    <mergeCell ref="U10:U11"/>
    <mergeCell ref="A10:A11"/>
    <mergeCell ref="B10:B11"/>
    <mergeCell ref="C10:C11"/>
    <mergeCell ref="E10:E11"/>
    <mergeCell ref="G10:G11"/>
    <mergeCell ref="I10:I11"/>
    <mergeCell ref="AS4:AS5"/>
    <mergeCell ref="AU4:AU5"/>
    <mergeCell ref="AW4:AW5"/>
    <mergeCell ref="AY4:AY5"/>
    <mergeCell ref="AC4:AC5"/>
    <mergeCell ref="AE4:AE5"/>
    <mergeCell ref="AG4:AG5"/>
    <mergeCell ref="AI4:AI5"/>
    <mergeCell ref="AK4:AK5"/>
    <mergeCell ref="AM4:AM5"/>
    <mergeCell ref="Q4:Q5"/>
    <mergeCell ref="S4:S5"/>
    <mergeCell ref="U4:U5"/>
    <mergeCell ref="W4:W5"/>
    <mergeCell ref="Y4:Y5"/>
    <mergeCell ref="A8:A9"/>
    <mergeCell ref="B8:B9"/>
    <mergeCell ref="C8:C9"/>
    <mergeCell ref="BY4:BY5"/>
    <mergeCell ref="CA4:CA5"/>
    <mergeCell ref="CC4:CC5"/>
    <mergeCell ref="CE4:CE5"/>
    <mergeCell ref="BM4:BM5"/>
    <mergeCell ref="BO4:BO5"/>
    <mergeCell ref="BQ4:BQ5"/>
    <mergeCell ref="BS4:BS5"/>
    <mergeCell ref="BU4:BU5"/>
    <mergeCell ref="BW4:BW5"/>
    <mergeCell ref="BA4:BA5"/>
    <mergeCell ref="BC4:BC5"/>
    <mergeCell ref="BE4:BE5"/>
    <mergeCell ref="BG4:BG5"/>
    <mergeCell ref="BI4:BI5"/>
    <mergeCell ref="BK4:BK5"/>
    <mergeCell ref="AO4:AO5"/>
    <mergeCell ref="AQ4:AQ5"/>
    <mergeCell ref="AA4:AA5"/>
    <mergeCell ref="A4:A5"/>
    <mergeCell ref="B4:B5"/>
    <mergeCell ref="C4:C5"/>
    <mergeCell ref="E4:E5"/>
    <mergeCell ref="G4:G5"/>
    <mergeCell ref="I4:I5"/>
    <mergeCell ref="K4:K5"/>
    <mergeCell ref="M4:M5"/>
    <mergeCell ref="O4:O5"/>
    <mergeCell ref="AS2:AV2"/>
    <mergeCell ref="AW2:AZ2"/>
    <mergeCell ref="BA2:BD2"/>
    <mergeCell ref="BE2:BH2"/>
    <mergeCell ref="AK2:AN2"/>
    <mergeCell ref="AO2:AR2"/>
    <mergeCell ref="B2:C3"/>
    <mergeCell ref="D2:D3"/>
    <mergeCell ref="BI2:BL2"/>
    <mergeCell ref="BM2:BP2"/>
  </mergeCells>
  <phoneticPr fontId="2"/>
  <pageMargins left="0.70866141732283472" right="0.70866141732283472" top="0.74803149606299213" bottom="0.74803149606299213" header="0.31496062992125984" footer="0.31496062992125984"/>
  <pageSetup paperSize="8" scale="50" fitToHeight="0" orientation="landscape" horizontalDpi="1200" verticalDpi="1200" r:id="rId1"/>
  <headerFooter>
    <oddHeader>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溶剤在管理表</vt:lpstr>
      <vt:lpstr>溶剤在管理表 (愛媛)</vt:lpstr>
      <vt:lpstr>溶剤在管理表 (広島)</vt:lpstr>
      <vt:lpstr>在庫評価（製作所、在庫していない溶材削除）</vt:lpstr>
    </vt:vector>
  </TitlesOfParts>
  <Company>AWI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白方 祐司</dc:creator>
  <cp:lastModifiedBy>史朗 片岡</cp:lastModifiedBy>
  <cp:lastPrinted>2026-04-07T03:14:18Z</cp:lastPrinted>
  <dcterms:created xsi:type="dcterms:W3CDTF">2024-09-30T10:05:54Z</dcterms:created>
  <dcterms:modified xsi:type="dcterms:W3CDTF">2026-05-11T11:15:09Z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